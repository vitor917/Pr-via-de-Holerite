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EPOSITORIO\Pr-via-de-Holerite\"/>
    </mc:Choice>
  </mc:AlternateContent>
  <xr:revisionPtr revIDLastSave="0" documentId="13_ncr:1_{BC7EAB2E-F28B-4EE9-8F3D-D198E3C3FD60}" xr6:coauthVersionLast="47" xr6:coauthVersionMax="47" xr10:uidLastSave="{00000000-0000-0000-0000-000000000000}"/>
  <bookViews>
    <workbookView xWindow="-120" yWindow="-120" windowWidth="29040" windowHeight="15720" xr2:uid="{F240E4E5-3E5D-4FF2-8642-3AEF06C98012}"/>
  </bookViews>
  <sheets>
    <sheet name="Calculadora" sheetId="1" r:id="rId1"/>
    <sheet name="Holerite" sheetId="8" r:id="rId2"/>
    <sheet name="Tabelas" sheetId="5" r:id="rId3"/>
    <sheet name="Cálculo" sheetId="6" r:id="rId4"/>
    <sheet name="NÃO MEXER" sheetId="4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8" l="1"/>
  <c r="B97" i="6"/>
  <c r="F92" i="6" s="1"/>
  <c r="D92" i="6"/>
  <c r="B92" i="6"/>
  <c r="E92" i="6" s="1"/>
  <c r="C31" i="8"/>
  <c r="I31" i="8"/>
  <c r="B87" i="6"/>
  <c r="E87" i="6" s="1"/>
  <c r="B31" i="8"/>
  <c r="I5" i="1"/>
  <c r="G16" i="8" l="1"/>
  <c r="I6" i="1"/>
  <c r="I10" i="1" s="1"/>
  <c r="C9" i="4" l="1"/>
  <c r="H20" i="8"/>
  <c r="G25" i="8"/>
  <c r="G24" i="8"/>
  <c r="G28" i="8" l="1"/>
  <c r="G27" i="8"/>
  <c r="G26" i="8"/>
  <c r="G20" i="8"/>
  <c r="G19" i="8"/>
  <c r="G18" i="8"/>
  <c r="H27" i="8"/>
  <c r="C20" i="8"/>
  <c r="C21" i="8"/>
  <c r="I9" i="1"/>
  <c r="B23" i="8" s="1"/>
  <c r="B21" i="8"/>
  <c r="B20" i="8"/>
  <c r="H17" i="8"/>
  <c r="G17" i="8"/>
  <c r="H16" i="8"/>
  <c r="B17" i="8"/>
  <c r="C17" i="8"/>
  <c r="B16" i="8"/>
  <c r="C16" i="8"/>
  <c r="H19" i="8"/>
  <c r="C18" i="8" l="1"/>
  <c r="H23" i="8"/>
  <c r="C19" i="8"/>
  <c r="H18" i="8"/>
  <c r="C23" i="8"/>
  <c r="B18" i="8"/>
  <c r="B19" i="8"/>
  <c r="C52" i="6"/>
  <c r="E52" i="6" s="1"/>
  <c r="C47" i="6"/>
  <c r="C32" i="6"/>
  <c r="C37" i="6"/>
  <c r="C42" i="6"/>
  <c r="C57" i="6"/>
  <c r="B57" i="6"/>
  <c r="B52" i="6"/>
  <c r="B47" i="6"/>
  <c r="B42" i="6"/>
  <c r="B37" i="6"/>
  <c r="B32" i="6"/>
  <c r="B27" i="6"/>
  <c r="D27" i="6" s="1"/>
  <c r="I11" i="1" s="1"/>
  <c r="H24" i="8" s="1"/>
  <c r="C3" i="6"/>
  <c r="B20" i="6"/>
  <c r="B9" i="5"/>
  <c r="D8" i="5"/>
  <c r="D7" i="5"/>
  <c r="D6" i="5"/>
  <c r="D5" i="5"/>
  <c r="E47" i="6" l="1"/>
  <c r="D42" i="6"/>
  <c r="I14" i="1" s="1"/>
  <c r="I27" i="8" s="1"/>
  <c r="B24" i="8"/>
  <c r="C24" i="8"/>
  <c r="F52" i="6"/>
  <c r="G52" i="6" s="1"/>
  <c r="D57" i="6"/>
  <c r="I15" i="1" s="1"/>
  <c r="D37" i="6"/>
  <c r="I13" i="1" s="1"/>
  <c r="D32" i="6"/>
  <c r="I12" i="1" s="1"/>
  <c r="B25" i="8" s="1"/>
  <c r="I26" i="8" l="1"/>
  <c r="C62" i="6"/>
  <c r="F47" i="6"/>
  <c r="I28" i="8"/>
  <c r="C25" i="8"/>
  <c r="H25" i="8"/>
  <c r="B27" i="8"/>
  <c r="C27" i="8"/>
  <c r="B26" i="8"/>
  <c r="C26" i="8"/>
  <c r="B28" i="8"/>
  <c r="C28" i="8"/>
  <c r="H52" i="6"/>
  <c r="I52" i="6" s="1"/>
  <c r="J52" i="6" l="1"/>
  <c r="B72" i="6" l="1"/>
  <c r="C72" i="6" l="1"/>
  <c r="C22" i="8"/>
  <c r="B62" i="6"/>
  <c r="D62" i="6" s="1"/>
  <c r="I5" i="6" s="1"/>
  <c r="H22" i="8"/>
  <c r="H34" i="8" s="1"/>
  <c r="I16" i="1"/>
  <c r="B22" i="8"/>
  <c r="C4" i="4" l="1"/>
  <c r="C7" i="4" s="1"/>
  <c r="E4" i="5"/>
  <c r="F13" i="5" s="1"/>
  <c r="G9" i="6"/>
  <c r="P3" i="1"/>
  <c r="P5" i="1" s="1"/>
  <c r="P6" i="1" l="1"/>
  <c r="P4" i="1"/>
  <c r="G8" i="6"/>
  <c r="E8" i="5"/>
  <c r="F8" i="5" s="1"/>
  <c r="E5" i="5"/>
  <c r="G11" i="6"/>
  <c r="P7" i="1"/>
  <c r="G10" i="6"/>
  <c r="E7" i="5"/>
  <c r="F7" i="5" s="1"/>
  <c r="F14" i="5"/>
  <c r="E6" i="5" l="1"/>
  <c r="F6" i="5" s="1"/>
  <c r="F5" i="5"/>
  <c r="P9" i="1"/>
  <c r="C13" i="6"/>
  <c r="C10" i="4" l="1"/>
  <c r="B19" i="6" s="1"/>
  <c r="E9" i="5"/>
  <c r="C29" i="8" l="1"/>
  <c r="I29" i="8"/>
  <c r="B29" i="8"/>
  <c r="B22" i="6"/>
  <c r="C5" i="6" l="1"/>
  <c r="F8" i="6" s="1"/>
  <c r="C22" i="6"/>
  <c r="E22" i="6" s="1"/>
  <c r="F11" i="6" l="1"/>
  <c r="D22" i="6"/>
  <c r="F22" i="6" s="1"/>
  <c r="F9" i="6"/>
  <c r="F10" i="6"/>
  <c r="C12" i="6" l="1"/>
  <c r="C15" i="6" s="1"/>
  <c r="D15" i="6" s="1"/>
  <c r="B77" i="6" s="1"/>
  <c r="B82" i="6" s="1"/>
  <c r="C11" i="4" s="1"/>
  <c r="I30" i="8" l="1"/>
  <c r="I34" i="8" s="1"/>
  <c r="I36" i="8" s="1"/>
  <c r="B67" i="6"/>
  <c r="B30" i="8"/>
  <c r="C14" i="4" l="1"/>
  <c r="C30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H13" authorId="0" shapeId="0" xr:uid="{F5A8F7A3-A83C-4C03-A86B-D793B2716A34}">
      <text>
        <r>
          <rPr>
            <b/>
            <sz val="9"/>
            <color indexed="81"/>
            <rFont val="Segoe UI"/>
            <charset val="1"/>
          </rPr>
          <t>User:</t>
        </r>
        <r>
          <rPr>
            <sz val="9"/>
            <color indexed="81"/>
            <rFont val="Segoe UI"/>
            <charset val="1"/>
          </rPr>
          <t xml:space="preserve">
Nesse local a referência é em dias
</t>
        </r>
      </text>
    </comment>
  </commentList>
</comments>
</file>

<file path=xl/sharedStrings.xml><?xml version="1.0" encoding="utf-8"?>
<sst xmlns="http://schemas.openxmlformats.org/spreadsheetml/2006/main" count="140" uniqueCount="121">
  <si>
    <t>Salário Líquido</t>
  </si>
  <si>
    <t>(+) Salário Contribuição (Somar tudo)</t>
  </si>
  <si>
    <t>--</t>
  </si>
  <si>
    <t>Base total</t>
  </si>
  <si>
    <t>Dependentes</t>
  </si>
  <si>
    <t>(-) INSS</t>
  </si>
  <si>
    <t>(-) IRRF</t>
  </si>
  <si>
    <t>Líquido que o funcionário recebe</t>
  </si>
  <si>
    <t>Preencher com as informações</t>
  </si>
  <si>
    <t xml:space="preserve">Salário </t>
  </si>
  <si>
    <t>Hora-Extra 50%</t>
  </si>
  <si>
    <t>Hora-Extra 100%</t>
  </si>
  <si>
    <t>DSR</t>
  </si>
  <si>
    <t>Total</t>
  </si>
  <si>
    <t>Preencher com as informações DSR</t>
  </si>
  <si>
    <t>Dias do Mês</t>
  </si>
  <si>
    <t>Domingos e feriados</t>
  </si>
  <si>
    <t xml:space="preserve">Premiação </t>
  </si>
  <si>
    <t>Comissão</t>
  </si>
  <si>
    <t>Insalubridade</t>
  </si>
  <si>
    <t>Tabela Progressiva IRRF</t>
  </si>
  <si>
    <t>TABELA VIGENTE INSS</t>
  </si>
  <si>
    <t>FATOR DE CÁLCULO</t>
  </si>
  <si>
    <t>Base de Cálculo (R$)</t>
  </si>
  <si>
    <t>Alíquota (%)</t>
  </si>
  <si>
    <t>Parcela a Deduzir do IR (R$)</t>
  </si>
  <si>
    <t>Tabela de contribuição dos segurados empregado, empregado doméstico e trabalhador avulso, para pagamento de remuneração a partir de 1º de Janeiro de 2013</t>
  </si>
  <si>
    <t>Salário-de-contribuição (R$)</t>
  </si>
  <si>
    <t>Alíquota para fins de recolhimento ao INSS (%)</t>
  </si>
  <si>
    <t>CÁLCULO INSS</t>
  </si>
  <si>
    <r>
      <t>Dedução por dependente:</t>
    </r>
    <r>
      <rPr>
        <b/>
        <i/>
        <sz val="8"/>
        <color rgb="FF000000"/>
        <rFont val="Times New Roman"/>
        <family val="1"/>
      </rPr>
      <t> </t>
    </r>
    <r>
      <rPr>
        <sz val="8"/>
        <color rgb="FF000000"/>
        <rFont val="Times New Roman"/>
        <family val="1"/>
      </rPr>
      <t>R$ 179,71 (cento e setenta e um reais e noventa e sete centavos).</t>
    </r>
  </si>
  <si>
    <t>regra estouro</t>
  </si>
  <si>
    <t>regra dentro</t>
  </si>
  <si>
    <t>v</t>
  </si>
  <si>
    <t>DEDUÇÃO LEGAL</t>
  </si>
  <si>
    <t>Quantidade de Dependentes</t>
  </si>
  <si>
    <t>DEDUÇÇÃO SIMPLIFICADA</t>
  </si>
  <si>
    <t>Dedução por dependente</t>
  </si>
  <si>
    <t>Dedução 25% s/ 1ª faixa</t>
  </si>
  <si>
    <t>Valor da Base</t>
  </si>
  <si>
    <t>Valor da base</t>
  </si>
  <si>
    <t>Inicial</t>
  </si>
  <si>
    <t>Alíquota</t>
  </si>
  <si>
    <t>Dedução</t>
  </si>
  <si>
    <t>Legal</t>
  </si>
  <si>
    <t>Simplificado</t>
  </si>
  <si>
    <t>Desconto Legal:</t>
  </si>
  <si>
    <t>Desconto Simplificado:</t>
  </si>
  <si>
    <t>Melhor opção para o empregado:</t>
  </si>
  <si>
    <t>INSS DESCONTADO</t>
  </si>
  <si>
    <t>DEPENDENTES IR</t>
  </si>
  <si>
    <t>Liquido</t>
  </si>
  <si>
    <t>Vlr Imposto</t>
  </si>
  <si>
    <t>Vlr a Deduzir</t>
  </si>
  <si>
    <t>IR a Pagar</t>
  </si>
  <si>
    <t>Base IR</t>
  </si>
  <si>
    <t xml:space="preserve">Insalubridade </t>
  </si>
  <si>
    <t xml:space="preserve">Porcentagem </t>
  </si>
  <si>
    <t>Salario mínimo</t>
  </si>
  <si>
    <t>Periculosidade</t>
  </si>
  <si>
    <t>Salario Funcionário</t>
  </si>
  <si>
    <t xml:space="preserve">Final </t>
  </si>
  <si>
    <t>Dias Falta</t>
  </si>
  <si>
    <t>Horas faltas</t>
  </si>
  <si>
    <t>Dias falta</t>
  </si>
  <si>
    <t>Horas falta</t>
  </si>
  <si>
    <t>Adicional noturno</t>
  </si>
  <si>
    <t>Horas mensal</t>
  </si>
  <si>
    <t>Porcentagem</t>
  </si>
  <si>
    <t xml:space="preserve">Hora extra noturna </t>
  </si>
  <si>
    <t>Valor hora normal</t>
  </si>
  <si>
    <t>Hora noturna</t>
  </si>
  <si>
    <t>Valor adicional de horas extra</t>
  </si>
  <si>
    <t>Uma hora extra noturna</t>
  </si>
  <si>
    <t>Valor final</t>
  </si>
  <si>
    <t>Gratificação</t>
  </si>
  <si>
    <t>Desconto DSR</t>
  </si>
  <si>
    <t>Valor desconto</t>
  </si>
  <si>
    <t>Cód</t>
  </si>
  <si>
    <t>Descrição</t>
  </si>
  <si>
    <t>Descontos</t>
  </si>
  <si>
    <t xml:space="preserve">Vencimentos </t>
  </si>
  <si>
    <t>Referência</t>
  </si>
  <si>
    <t xml:space="preserve">Total de vencimentos </t>
  </si>
  <si>
    <t>Total de descontos</t>
  </si>
  <si>
    <t>Prévia de Folha Mensal</t>
  </si>
  <si>
    <t>Recibo de Pagamento de Salário</t>
  </si>
  <si>
    <t>DSR Comissão</t>
  </si>
  <si>
    <t>Custo do Funcionário</t>
  </si>
  <si>
    <t>Salário com Horas-Extras</t>
  </si>
  <si>
    <t>FGTS Mensal (8,0%)</t>
  </si>
  <si>
    <t>Contribuição Previdenciária Patronal</t>
  </si>
  <si>
    <t>Outras Entidades</t>
  </si>
  <si>
    <t xml:space="preserve">Dependentes </t>
  </si>
  <si>
    <r>
      <rPr>
        <b/>
        <sz val="11"/>
        <rFont val="Times New Roman"/>
        <family val="1"/>
      </rPr>
      <t>Informações importantes sobre o uso da planilha:</t>
    </r>
    <r>
      <rPr>
        <sz val="11"/>
        <rFont val="Times New Roman"/>
        <family val="1"/>
      </rPr>
      <t xml:space="preserve">
</t>
    </r>
    <r>
      <rPr>
        <b/>
        <sz val="11"/>
        <rFont val="Times New Roman"/>
        <family val="1"/>
      </rPr>
      <t>Apenas dois quadros devem serem preenchidos</t>
    </r>
    <r>
      <rPr>
        <sz val="11"/>
        <rFont val="Times New Roman"/>
        <family val="1"/>
      </rPr>
      <t xml:space="preserve">, os demais são calculadas automaticamente </t>
    </r>
    <r>
      <rPr>
        <b/>
        <sz val="11"/>
        <rFont val="Times New Roman"/>
        <family val="1"/>
      </rPr>
      <t>e não devem ser alteradas.</t>
    </r>
    <r>
      <rPr>
        <sz val="11"/>
        <rFont val="Times New Roman"/>
        <family val="1"/>
      </rPr>
      <t xml:space="preserve">
A primeira parte da planilha apresenta</t>
    </r>
    <r>
      <rPr>
        <b/>
        <sz val="11"/>
        <rFont val="Times New Roman"/>
        <family val="1"/>
      </rPr>
      <t xml:space="preserve"> a calculadora, </t>
    </r>
    <r>
      <rPr>
        <sz val="11"/>
        <rFont val="Times New Roman"/>
        <family val="1"/>
      </rPr>
      <t xml:space="preserve">onde você irá colocar os lançamentos para ter a prévia do holerite.
</t>
    </r>
    <r>
      <rPr>
        <b/>
        <sz val="11"/>
        <rFont val="Times New Roman"/>
        <family val="1"/>
      </rPr>
      <t>No segundo quadro de informações</t>
    </r>
    <r>
      <rPr>
        <sz val="11"/>
        <rFont val="Times New Roman"/>
        <family val="1"/>
      </rPr>
      <t xml:space="preserve">, informe os dias úteis do mês (incluindo os sábados) e, em outro campo, os domingos e feriados
As informações devem ser preenchidas nos quadros com diferente das demais. Nas areas que tem quadro para assinalar, clique somente caso tenha aquele lançamento.
</t>
    </r>
    <r>
      <rPr>
        <b/>
        <sz val="11"/>
        <rFont val="Times New Roman"/>
        <family val="1"/>
      </rPr>
      <t xml:space="preserve">No terceiro quadro de informações, </t>
    </r>
    <r>
      <rPr>
        <sz val="11"/>
        <rFont val="Times New Roman"/>
        <family val="1"/>
      </rPr>
      <t xml:space="preserve">aparece o custo de cada funcionário além dos valores de folha.
Seguindo essas orientações, a planilha funcionará perfeitamente.                                                                                  
</t>
    </r>
    <r>
      <rPr>
        <b/>
        <sz val="11"/>
        <rFont val="Times New Roman"/>
        <family val="1"/>
      </rPr>
      <t>Em caso de dúvidas, entre em contato conosco.</t>
    </r>
  </si>
  <si>
    <t>Desconto de DSR</t>
  </si>
  <si>
    <t>Base de IR</t>
  </si>
  <si>
    <t>Soma</t>
  </si>
  <si>
    <t>Subtração</t>
  </si>
  <si>
    <t>Finalização IRRF</t>
  </si>
  <si>
    <t>Salário Bruto</t>
  </si>
  <si>
    <t>Claculo</t>
  </si>
  <si>
    <t>calculo complexo</t>
  </si>
  <si>
    <t>Calculo</t>
  </si>
  <si>
    <t>Calculo final</t>
  </si>
  <si>
    <t>Valor a enviar IR</t>
  </si>
  <si>
    <t>Teve adiantamento?</t>
  </si>
  <si>
    <t>Valor adiantamento</t>
  </si>
  <si>
    <t>Salário bruto</t>
  </si>
  <si>
    <t xml:space="preserve">Calculo </t>
  </si>
  <si>
    <t>Não</t>
  </si>
  <si>
    <t>Dias trabalhados (inlcuir final de semana)</t>
  </si>
  <si>
    <t>Calculo horas dias</t>
  </si>
  <si>
    <t xml:space="preserve">Dias mês trabalhados </t>
  </si>
  <si>
    <t>Horas mensais</t>
  </si>
  <si>
    <t>Horas por dia</t>
  </si>
  <si>
    <t>Horas mês</t>
  </si>
  <si>
    <t>Calculo pelas horas</t>
  </si>
  <si>
    <t xml:space="preserve">Horas trabalhadas </t>
  </si>
  <si>
    <t>GILRAT</t>
  </si>
  <si>
    <t>FAP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</si>
</sst>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_-[$R$-416]\ * #,##0.00_-;\-[$R$-416]\ * #,##0.00_-;_-[$R$-416]\ * &quot;-&quot;??_-;_-@_-"/>
    <numFmt numFmtId="167" formatCode="0.0%"/>
    <numFmt numFmtId="168" formatCode="[h]:mm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b/>
      <sz val="8"/>
      <color rgb="FFFFFFFF"/>
      <name val="Times New Roman"/>
      <family val="1"/>
    </font>
    <font>
      <sz val="8"/>
      <color theme="1"/>
      <name val="Times New Roman"/>
      <family val="1"/>
    </font>
    <font>
      <sz val="9"/>
      <color rgb="FF000000"/>
      <name val="Arial"/>
      <family val="2"/>
    </font>
    <font>
      <b/>
      <sz val="8"/>
      <color rgb="FF000000"/>
      <name val="Times New Roman"/>
      <family val="1"/>
    </font>
    <font>
      <b/>
      <i/>
      <sz val="8"/>
      <color rgb="FF000000"/>
      <name val="Times New Roman"/>
      <family val="1"/>
    </font>
    <font>
      <sz val="8"/>
      <color rgb="FF000000"/>
      <name val="Times New Roman"/>
      <family val="1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sz val="7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color rgb="FF000000"/>
      <name val="Arial"/>
      <family val="2"/>
    </font>
    <font>
      <sz val="11"/>
      <color theme="0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5D5D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3">
    <xf numFmtId="0" fontId="0" fillId="0" borderId="0" xfId="0"/>
    <xf numFmtId="0" fontId="4" fillId="3" borderId="0" xfId="0" applyFont="1" applyFill="1" applyProtection="1">
      <protection locked="0" hidden="1"/>
    </xf>
    <xf numFmtId="43" fontId="4" fillId="3" borderId="0" xfId="1" applyFont="1" applyFill="1" applyProtection="1">
      <protection locked="0" hidden="1"/>
    </xf>
    <xf numFmtId="0" fontId="3" fillId="4" borderId="0" xfId="0" applyFont="1" applyFill="1" applyProtection="1">
      <protection locked="0" hidden="1"/>
    </xf>
    <xf numFmtId="43" fontId="3" fillId="4" borderId="3" xfId="1" applyFont="1" applyFill="1" applyBorder="1" applyAlignment="1" applyProtection="1">
      <alignment horizontal="center" vertical="center" wrapText="1"/>
      <protection locked="0" hidden="1"/>
    </xf>
    <xf numFmtId="0" fontId="3" fillId="5" borderId="0" xfId="0" quotePrefix="1" applyFont="1" applyFill="1" applyProtection="1">
      <protection locked="0" hidden="1"/>
    </xf>
    <xf numFmtId="43" fontId="3" fillId="5" borderId="3" xfId="1" applyFont="1" applyFill="1" applyBorder="1" applyAlignment="1" applyProtection="1">
      <alignment horizontal="center" vertical="center" wrapText="1"/>
      <protection locked="0" hidden="1"/>
    </xf>
    <xf numFmtId="0" fontId="3" fillId="3" borderId="0" xfId="0" applyFont="1" applyFill="1" applyProtection="1">
      <protection locked="0" hidden="1"/>
    </xf>
    <xf numFmtId="43" fontId="3" fillId="3" borderId="0" xfId="1" applyFont="1" applyFill="1" applyBorder="1" applyAlignment="1" applyProtection="1">
      <alignment horizontal="center" vertical="center" wrapText="1"/>
      <protection locked="0" hidden="1"/>
    </xf>
    <xf numFmtId="43" fontId="3" fillId="4" borderId="3" xfId="1" applyFont="1" applyFill="1" applyBorder="1" applyAlignment="1" applyProtection="1">
      <alignment horizontal="center" vertical="center" wrapText="1"/>
      <protection hidden="1"/>
    </xf>
    <xf numFmtId="0" fontId="3" fillId="5" borderId="0" xfId="0" applyFont="1" applyFill="1" applyProtection="1">
      <protection locked="0" hidden="1"/>
    </xf>
    <xf numFmtId="165" fontId="3" fillId="4" borderId="3" xfId="1" applyNumberFormat="1" applyFont="1" applyFill="1" applyBorder="1" applyAlignment="1" applyProtection="1">
      <alignment vertical="center" wrapText="1"/>
      <protection locked="0" hidden="1"/>
    </xf>
    <xf numFmtId="43" fontId="3" fillId="5" borderId="3" xfId="1" applyFont="1" applyFill="1" applyBorder="1" applyAlignment="1" applyProtection="1">
      <alignment horizontal="center" vertical="center" wrapText="1"/>
      <protection hidden="1"/>
    </xf>
    <xf numFmtId="0" fontId="3" fillId="6" borderId="0" xfId="0" applyFont="1" applyFill="1" applyProtection="1">
      <protection locked="0" hidden="1"/>
    </xf>
    <xf numFmtId="43" fontId="3" fillId="6" borderId="3" xfId="1" applyFont="1" applyFill="1" applyBorder="1" applyAlignment="1" applyProtection="1">
      <alignment horizontal="center" vertical="center" wrapText="1"/>
      <protection hidden="1"/>
    </xf>
    <xf numFmtId="0" fontId="6" fillId="8" borderId="7" xfId="0" applyFont="1" applyFill="1" applyBorder="1"/>
    <xf numFmtId="0" fontId="6" fillId="8" borderId="10" xfId="0" applyFont="1" applyFill="1" applyBorder="1"/>
    <xf numFmtId="9" fontId="6" fillId="8" borderId="11" xfId="0" applyNumberFormat="1" applyFont="1" applyFill="1" applyBorder="1"/>
    <xf numFmtId="166" fontId="6" fillId="8" borderId="13" xfId="2" applyNumberFormat="1" applyFont="1" applyFill="1" applyBorder="1" applyAlignment="1">
      <alignment horizontal="center" vertical="center"/>
    </xf>
    <xf numFmtId="0" fontId="5" fillId="7" borderId="15" xfId="0" applyFont="1" applyFill="1" applyBorder="1"/>
    <xf numFmtId="0" fontId="0" fillId="0" borderId="0" xfId="0" applyAlignment="1">
      <alignment horizontal="center"/>
    </xf>
    <xf numFmtId="0" fontId="7" fillId="10" borderId="18" xfId="0" applyFont="1" applyFill="1" applyBorder="1" applyAlignment="1">
      <alignment vertical="center"/>
    </xf>
    <xf numFmtId="0" fontId="7" fillId="10" borderId="19" xfId="0" applyFont="1" applyFill="1" applyBorder="1" applyAlignment="1">
      <alignment vertical="center"/>
    </xf>
    <xf numFmtId="0" fontId="7" fillId="10" borderId="20" xfId="0" applyFont="1" applyFill="1" applyBorder="1" applyAlignment="1">
      <alignment vertical="center"/>
    </xf>
    <xf numFmtId="0" fontId="7" fillId="10" borderId="0" xfId="0" applyFont="1" applyFill="1" applyAlignment="1">
      <alignment vertical="center"/>
    </xf>
    <xf numFmtId="0" fontId="7" fillId="10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 wrapText="1"/>
    </xf>
    <xf numFmtId="0" fontId="8" fillId="11" borderId="21" xfId="0" applyFont="1" applyFill="1" applyBorder="1" applyAlignment="1">
      <alignment horizontal="center" vertical="center" wrapText="1"/>
    </xf>
    <xf numFmtId="0" fontId="8" fillId="11" borderId="22" xfId="0" applyFont="1" applyFill="1" applyBorder="1" applyAlignment="1">
      <alignment horizontal="center" vertical="center" wrapText="1"/>
    </xf>
    <xf numFmtId="0" fontId="7" fillId="10" borderId="23" xfId="0" applyFont="1" applyFill="1" applyBorder="1" applyAlignment="1">
      <alignment horizontal="center" vertical="center" wrapText="1"/>
    </xf>
    <xf numFmtId="0" fontId="7" fillId="10" borderId="24" xfId="0" applyFont="1" applyFill="1" applyBorder="1" applyAlignment="1">
      <alignment vertical="center"/>
    </xf>
    <xf numFmtId="43" fontId="9" fillId="0" borderId="0" xfId="1" applyFont="1" applyBorder="1" applyAlignment="1">
      <alignment horizontal="center" vertical="center" wrapText="1"/>
    </xf>
    <xf numFmtId="43" fontId="9" fillId="0" borderId="25" xfId="1" applyFont="1" applyBorder="1" applyAlignment="1">
      <alignment vertical="center" wrapText="1"/>
    </xf>
    <xf numFmtId="43" fontId="9" fillId="0" borderId="26" xfId="1" applyFont="1" applyBorder="1" applyAlignment="1">
      <alignment vertical="center" wrapText="1"/>
    </xf>
    <xf numFmtId="9" fontId="9" fillId="0" borderId="26" xfId="3" applyFont="1" applyBorder="1" applyAlignment="1">
      <alignment horizontal="center" vertical="center" wrapText="1"/>
    </xf>
    <xf numFmtId="43" fontId="9" fillId="0" borderId="26" xfId="1" applyFont="1" applyBorder="1" applyAlignment="1">
      <alignment horizontal="center" vertical="center" wrapText="1"/>
    </xf>
    <xf numFmtId="0" fontId="7" fillId="10" borderId="27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vertical="center"/>
    </xf>
    <xf numFmtId="0" fontId="7" fillId="10" borderId="28" xfId="0" applyFont="1" applyFill="1" applyBorder="1" applyAlignment="1">
      <alignment vertical="center"/>
    </xf>
    <xf numFmtId="43" fontId="7" fillId="10" borderId="0" xfId="1" applyFont="1" applyFill="1" applyBorder="1" applyAlignment="1">
      <alignment vertical="center"/>
    </xf>
    <xf numFmtId="43" fontId="7" fillId="10" borderId="0" xfId="1" applyFont="1" applyFill="1" applyBorder="1" applyAlignment="1">
      <alignment horizontal="center" vertical="center"/>
    </xf>
    <xf numFmtId="43" fontId="9" fillId="0" borderId="0" xfId="1" applyFont="1" applyBorder="1" applyAlignment="1">
      <alignment horizontal="center" vertical="top" wrapText="1"/>
    </xf>
    <xf numFmtId="10" fontId="9" fillId="0" borderId="26" xfId="0" applyNumberFormat="1" applyFont="1" applyBorder="1" applyAlignment="1">
      <alignment horizontal="center" vertical="center" wrapText="1"/>
    </xf>
    <xf numFmtId="43" fontId="9" fillId="0" borderId="26" xfId="1" applyFont="1" applyBorder="1" applyAlignment="1">
      <alignment horizontal="center" vertical="top" wrapText="1"/>
    </xf>
    <xf numFmtId="43" fontId="10" fillId="12" borderId="7" xfId="1" applyFont="1" applyFill="1" applyBorder="1" applyAlignment="1">
      <alignment vertical="center"/>
    </xf>
    <xf numFmtId="43" fontId="10" fillId="12" borderId="7" xfId="1" applyFont="1" applyFill="1" applyBorder="1" applyAlignment="1">
      <alignment horizontal="center" vertical="center"/>
    </xf>
    <xf numFmtId="10" fontId="10" fillId="12" borderId="7" xfId="3" applyNumberFormat="1" applyFont="1" applyFill="1" applyBorder="1" applyAlignment="1">
      <alignment horizontal="center" vertical="center"/>
    </xf>
    <xf numFmtId="43" fontId="10" fillId="12" borderId="0" xfId="1" applyFont="1" applyFill="1" applyBorder="1" applyAlignment="1">
      <alignment horizontal="right" vertical="center"/>
    </xf>
    <xf numFmtId="43" fontId="10" fillId="12" borderId="0" xfId="1" applyFont="1" applyFill="1" applyBorder="1" applyAlignment="1">
      <alignment horizontal="center" vertical="center"/>
    </xf>
    <xf numFmtId="9" fontId="9" fillId="0" borderId="26" xfId="0" applyNumberFormat="1" applyFont="1" applyBorder="1" applyAlignment="1">
      <alignment horizontal="center" vertical="center" wrapText="1"/>
    </xf>
    <xf numFmtId="43" fontId="0" fillId="0" borderId="0" xfId="1" applyFont="1"/>
    <xf numFmtId="43" fontId="0" fillId="0" borderId="0" xfId="1" applyFont="1" applyAlignment="1">
      <alignment horizontal="center"/>
    </xf>
    <xf numFmtId="0" fontId="11" fillId="0" borderId="29" xfId="0" applyFont="1" applyBorder="1" applyAlignment="1">
      <alignment vertical="center" wrapText="1"/>
    </xf>
    <xf numFmtId="2" fontId="2" fillId="0" borderId="7" xfId="0" applyNumberFormat="1" applyFont="1" applyBorder="1"/>
    <xf numFmtId="44" fontId="0" fillId="0" borderId="0" xfId="2" applyFont="1"/>
    <xf numFmtId="44" fontId="2" fillId="0" borderId="7" xfId="2" applyFont="1" applyBorder="1" applyAlignment="1"/>
    <xf numFmtId="0" fontId="2" fillId="13" borderId="7" xfId="0" applyFont="1" applyFill="1" applyBorder="1" applyAlignment="1">
      <alignment horizontal="center"/>
    </xf>
    <xf numFmtId="166" fontId="0" fillId="14" borderId="7" xfId="0" applyNumberFormat="1" applyFill="1" applyBorder="1"/>
    <xf numFmtId="10" fontId="0" fillId="14" borderId="7" xfId="3" applyNumberFormat="1" applyFont="1" applyFill="1" applyBorder="1"/>
    <xf numFmtId="44" fontId="0" fillId="14" borderId="7" xfId="2" applyFont="1" applyFill="1" applyBorder="1"/>
    <xf numFmtId="44" fontId="2" fillId="13" borderId="7" xfId="2" applyFont="1" applyFill="1" applyBorder="1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67" fontId="0" fillId="0" borderId="0" xfId="3" applyNumberFormat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15" borderId="0" xfId="0" applyFill="1"/>
    <xf numFmtId="0" fontId="6" fillId="9" borderId="30" xfId="0" applyFont="1" applyFill="1" applyBorder="1"/>
    <xf numFmtId="9" fontId="6" fillId="9" borderId="31" xfId="0" applyNumberFormat="1" applyFont="1" applyFill="1" applyBorder="1"/>
    <xf numFmtId="166" fontId="6" fillId="9" borderId="32" xfId="2" applyNumberFormat="1" applyFont="1" applyFill="1" applyBorder="1" applyAlignment="1">
      <alignment horizontal="center" vertical="center"/>
    </xf>
    <xf numFmtId="9" fontId="6" fillId="8" borderId="12" xfId="0" applyNumberFormat="1" applyFont="1" applyFill="1" applyBorder="1"/>
    <xf numFmtId="0" fontId="0" fillId="14" borderId="7" xfId="2" applyNumberFormat="1" applyFont="1" applyFill="1" applyBorder="1"/>
    <xf numFmtId="0" fontId="0" fillId="0" borderId="33" xfId="0" applyBorder="1"/>
    <xf numFmtId="0" fontId="0" fillId="0" borderId="11" xfId="0" applyBorder="1"/>
    <xf numFmtId="0" fontId="0" fillId="0" borderId="34" xfId="0" applyBorder="1"/>
    <xf numFmtId="0" fontId="0" fillId="0" borderId="23" xfId="0" applyBorder="1"/>
    <xf numFmtId="0" fontId="0" fillId="0" borderId="24" xfId="0" applyBorder="1"/>
    <xf numFmtId="0" fontId="0" fillId="0" borderId="27" xfId="0" applyBorder="1"/>
    <xf numFmtId="0" fontId="0" fillId="0" borderId="8" xfId="0" applyBorder="1"/>
    <xf numFmtId="0" fontId="0" fillId="0" borderId="28" xfId="0" applyBorder="1"/>
    <xf numFmtId="0" fontId="0" fillId="0" borderId="7" xfId="0" applyBorder="1"/>
    <xf numFmtId="0" fontId="0" fillId="0" borderId="12" xfId="0" applyBorder="1"/>
    <xf numFmtId="0" fontId="0" fillId="0" borderId="3" xfId="0" applyBorder="1"/>
    <xf numFmtId="0" fontId="0" fillId="0" borderId="9" xfId="0" applyBorder="1"/>
    <xf numFmtId="0" fontId="16" fillId="0" borderId="12" xfId="0" applyFont="1" applyBorder="1"/>
    <xf numFmtId="0" fontId="17" fillId="0" borderId="23" xfId="0" applyFont="1" applyBorder="1" applyAlignment="1">
      <alignment horizontal="center"/>
    </xf>
    <xf numFmtId="0" fontId="17" fillId="0" borderId="0" xfId="0" applyFont="1" applyAlignment="1">
      <alignment horizontal="center"/>
    </xf>
    <xf numFmtId="2" fontId="6" fillId="8" borderId="7" xfId="0" applyNumberFormat="1" applyFont="1" applyFill="1" applyBorder="1"/>
    <xf numFmtId="49" fontId="0" fillId="0" borderId="0" xfId="0" applyNumberFormat="1"/>
    <xf numFmtId="44" fontId="0" fillId="0" borderId="12" xfId="2" applyFont="1" applyBorder="1"/>
    <xf numFmtId="44" fontId="0" fillId="0" borderId="3" xfId="2" applyFont="1" applyBorder="1"/>
    <xf numFmtId="44" fontId="0" fillId="0" borderId="9" xfId="2" applyFont="1" applyBorder="1"/>
    <xf numFmtId="44" fontId="0" fillId="0" borderId="3" xfId="2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2" xfId="0" applyBorder="1" applyAlignment="1">
      <alignment horizontal="right"/>
    </xf>
    <xf numFmtId="10" fontId="0" fillId="0" borderId="3" xfId="0" applyNumberFormat="1" applyBorder="1" applyAlignment="1">
      <alignment horizontal="right"/>
    </xf>
    <xf numFmtId="44" fontId="0" fillId="0" borderId="3" xfId="0" applyNumberFormat="1" applyBorder="1"/>
    <xf numFmtId="0" fontId="6" fillId="8" borderId="37" xfId="0" applyFont="1" applyFill="1" applyBorder="1"/>
    <xf numFmtId="0" fontId="6" fillId="8" borderId="19" xfId="0" applyFont="1" applyFill="1" applyBorder="1"/>
    <xf numFmtId="166" fontId="6" fillId="8" borderId="38" xfId="2" applyNumberFormat="1" applyFont="1" applyFill="1" applyBorder="1" applyAlignment="1">
      <alignment horizontal="center" vertical="center"/>
    </xf>
    <xf numFmtId="10" fontId="6" fillId="8" borderId="19" xfId="0" applyNumberFormat="1" applyFont="1" applyFill="1" applyBorder="1"/>
    <xf numFmtId="0" fontId="19" fillId="16" borderId="39" xfId="0" applyFont="1" applyFill="1" applyBorder="1"/>
    <xf numFmtId="0" fontId="19" fillId="16" borderId="40" xfId="0" applyFont="1" applyFill="1" applyBorder="1"/>
    <xf numFmtId="166" fontId="19" fillId="16" borderId="16" xfId="2" applyNumberFormat="1" applyFont="1" applyFill="1" applyBorder="1" applyAlignment="1">
      <alignment horizontal="center" vertical="center"/>
    </xf>
    <xf numFmtId="0" fontId="6" fillId="17" borderId="37" xfId="0" applyFont="1" applyFill="1" applyBorder="1"/>
    <xf numFmtId="10" fontId="6" fillId="17" borderId="19" xfId="0" applyNumberFormat="1" applyFont="1" applyFill="1" applyBorder="1"/>
    <xf numFmtId="166" fontId="6" fillId="17" borderId="38" xfId="2" applyNumberFormat="1" applyFont="1" applyFill="1" applyBorder="1" applyAlignment="1">
      <alignment horizontal="center" vertical="center"/>
    </xf>
    <xf numFmtId="44" fontId="0" fillId="0" borderId="9" xfId="0" applyNumberFormat="1" applyBorder="1"/>
    <xf numFmtId="0" fontId="0" fillId="0" borderId="9" xfId="0" applyBorder="1" applyAlignment="1">
      <alignment horizontal="right"/>
    </xf>
    <xf numFmtId="166" fontId="6" fillId="18" borderId="13" xfId="2" applyNumberFormat="1" applyFont="1" applyFill="1" applyBorder="1" applyAlignment="1">
      <alignment horizontal="center" vertical="center"/>
    </xf>
    <xf numFmtId="2" fontId="6" fillId="18" borderId="7" xfId="0" applyNumberFormat="1" applyFont="1" applyFill="1" applyBorder="1"/>
    <xf numFmtId="2" fontId="6" fillId="18" borderId="12" xfId="0" applyNumberFormat="1" applyFont="1" applyFill="1" applyBorder="1"/>
    <xf numFmtId="0" fontId="6" fillId="18" borderId="45" xfId="2" applyNumberFormat="1" applyFont="1" applyFill="1" applyBorder="1" applyAlignment="1">
      <alignment horizontal="center" vertical="center"/>
    </xf>
    <xf numFmtId="0" fontId="6" fillId="8" borderId="43" xfId="0" applyFont="1" applyFill="1" applyBorder="1"/>
    <xf numFmtId="0" fontId="6" fillId="8" borderId="39" xfId="0" applyFont="1" applyFill="1" applyBorder="1"/>
    <xf numFmtId="0" fontId="22" fillId="0" borderId="0" xfId="0" applyFont="1"/>
    <xf numFmtId="0" fontId="5" fillId="7" borderId="4" xfId="0" applyFont="1" applyFill="1" applyBorder="1"/>
    <xf numFmtId="0" fontId="6" fillId="18" borderId="15" xfId="2" applyNumberFormat="1" applyFont="1" applyFill="1" applyBorder="1" applyAlignment="1">
      <alignment horizontal="center" vertical="center"/>
    </xf>
    <xf numFmtId="2" fontId="6" fillId="8" borderId="46" xfId="0" applyNumberFormat="1" applyFont="1" applyFill="1" applyBorder="1"/>
    <xf numFmtId="0" fontId="6" fillId="18" borderId="47" xfId="2" applyNumberFormat="1" applyFont="1" applyFill="1" applyBorder="1" applyAlignment="1">
      <alignment horizontal="center" vertical="center"/>
    </xf>
    <xf numFmtId="168" fontId="0" fillId="0" borderId="0" xfId="0" applyNumberFormat="1"/>
    <xf numFmtId="0" fontId="23" fillId="0" borderId="0" xfId="0" applyFont="1"/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35" xfId="0" applyFont="1" applyFill="1" applyBorder="1" applyAlignment="1">
      <alignment horizontal="center"/>
    </xf>
    <xf numFmtId="0" fontId="5" fillId="7" borderId="36" xfId="0" applyFont="1" applyFill="1" applyBorder="1" applyAlignment="1">
      <alignment horizontal="center"/>
    </xf>
    <xf numFmtId="0" fontId="20" fillId="19" borderId="43" xfId="0" applyFont="1" applyFill="1" applyBorder="1" applyAlignment="1">
      <alignment horizontal="center" vertical="top" wrapText="1"/>
    </xf>
    <xf numFmtId="0" fontId="20" fillId="19" borderId="5" xfId="0" applyFont="1" applyFill="1" applyBorder="1" applyAlignment="1">
      <alignment horizontal="center" vertical="top" wrapText="1"/>
    </xf>
    <xf numFmtId="0" fontId="20" fillId="19" borderId="44" xfId="0" applyFont="1" applyFill="1" applyBorder="1" applyAlignment="1">
      <alignment horizontal="center" vertical="top" wrapText="1"/>
    </xf>
    <xf numFmtId="0" fontId="20" fillId="19" borderId="41" xfId="0" applyFont="1" applyFill="1" applyBorder="1" applyAlignment="1">
      <alignment horizontal="center" vertical="top" wrapText="1"/>
    </xf>
    <xf numFmtId="0" fontId="20" fillId="19" borderId="42" xfId="0" applyFont="1" applyFill="1" applyBorder="1" applyAlignment="1">
      <alignment horizontal="center" vertical="top" wrapText="1"/>
    </xf>
    <xf numFmtId="0" fontId="20" fillId="19" borderId="30" xfId="0" applyFont="1" applyFill="1" applyBorder="1" applyAlignment="1">
      <alignment horizontal="center" vertical="top" wrapText="1"/>
    </xf>
    <xf numFmtId="0" fontId="20" fillId="19" borderId="31" xfId="0" applyFont="1" applyFill="1" applyBorder="1" applyAlignment="1">
      <alignment horizontal="center" vertical="top" wrapText="1"/>
    </xf>
    <xf numFmtId="0" fontId="20" fillId="19" borderId="32" xfId="0" applyFont="1" applyFill="1" applyBorder="1" applyAlignment="1">
      <alignment horizontal="center" vertical="top" wrapText="1"/>
    </xf>
    <xf numFmtId="0" fontId="0" fillId="0" borderId="23" xfId="0" applyBorder="1"/>
    <xf numFmtId="0" fontId="0" fillId="0" borderId="0" xfId="0"/>
    <xf numFmtId="0" fontId="0" fillId="0" borderId="24" xfId="0" applyBorder="1"/>
    <xf numFmtId="0" fontId="0" fillId="0" borderId="23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4" xfId="0" applyBorder="1" applyAlignment="1">
      <alignment horizontal="left"/>
    </xf>
    <xf numFmtId="0" fontId="0" fillId="0" borderId="33" xfId="0" applyBorder="1"/>
    <xf numFmtId="0" fontId="0" fillId="0" borderId="11" xfId="0" applyBorder="1"/>
    <xf numFmtId="0" fontId="0" fillId="0" borderId="34" xfId="0" applyBorder="1"/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8" fillId="0" borderId="33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4" xfId="0" applyBorder="1" applyAlignment="1">
      <alignment horizontal="center"/>
    </xf>
    <xf numFmtId="0" fontId="0" fillId="0" borderId="17" xfId="0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/>
      <protection locked="0" hidden="1"/>
    </xf>
    <xf numFmtId="0" fontId="3" fillId="2" borderId="2" xfId="0" applyFont="1" applyFill="1" applyBorder="1" applyAlignment="1" applyProtection="1">
      <alignment horizontal="center"/>
      <protection locked="0" hidden="1"/>
    </xf>
    <xf numFmtId="10" fontId="6" fillId="8" borderId="11" xfId="0" applyNumberFormat="1" applyFont="1" applyFill="1" applyBorder="1"/>
    <xf numFmtId="0" fontId="20" fillId="19" borderId="0" xfId="0" applyFont="1" applyFill="1" applyBorder="1" applyAlignment="1">
      <alignment horizontal="center" vertical="top" wrapText="1"/>
    </xf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1181100</xdr:colOff>
      <xdr:row>2</xdr:row>
      <xdr:rowOff>152400</xdr:rowOff>
    </xdr:from>
    <xdr:ext cx="3032497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CED95D73-3B4B-4581-9B57-BE412293D90F}"/>
            </a:ext>
          </a:extLst>
        </xdr:cNvPr>
        <xdr:cNvSpPr txBox="1"/>
      </xdr:nvSpPr>
      <xdr:spPr>
        <a:xfrm>
          <a:off x="12296775" y="485775"/>
          <a:ext cx="30324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&lt;---</a:t>
          </a:r>
          <a:r>
            <a:rPr lang="pt-BR" sz="1100" baseline="0"/>
            <a:t> </a:t>
          </a:r>
          <a:r>
            <a:rPr lang="pt-BR" sz="1100"/>
            <a:t>Empresa do simples nacional</a:t>
          </a:r>
          <a:r>
            <a:rPr lang="pt-BR" sz="1100" baseline="0"/>
            <a:t> só tem esse valor</a:t>
          </a:r>
          <a:endParaRPr lang="pt-BR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34</xdr:row>
      <xdr:rowOff>104775</xdr:rowOff>
    </xdr:from>
    <xdr:to>
      <xdr:col>7</xdr:col>
      <xdr:colOff>963332</xdr:colOff>
      <xdr:row>36</xdr:row>
      <xdr:rowOff>73958</xdr:rowOff>
    </xdr:to>
    <xdr:sp macro="" textlink="">
      <xdr:nvSpPr>
        <xdr:cNvPr id="4" name="Seta para a direita 2">
          <a:extLst>
            <a:ext uri="{FF2B5EF4-FFF2-40B4-BE49-F238E27FC236}">
              <a16:creationId xmlns:a16="http://schemas.microsoft.com/office/drawing/2014/main" id="{85B93AAF-32CE-4607-A462-97B9848775A8}"/>
            </a:ext>
          </a:extLst>
        </xdr:cNvPr>
        <xdr:cNvSpPr/>
      </xdr:nvSpPr>
      <xdr:spPr>
        <a:xfrm>
          <a:off x="4562475" y="6115050"/>
          <a:ext cx="296582" cy="159683"/>
        </a:xfrm>
        <a:prstGeom prst="rightArrow">
          <a:avLst/>
        </a:prstGeom>
        <a:noFill/>
        <a:ln w="63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BR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7</xdr:col>
      <xdr:colOff>611</xdr:colOff>
      <xdr:row>34</xdr:row>
      <xdr:rowOff>144897</xdr:rowOff>
    </xdr:from>
    <xdr:ext cx="892451" cy="217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D26BAD43-7020-6DD8-0A8D-68DC6DD8F5F7}"/>
            </a:ext>
          </a:extLst>
        </xdr:cNvPr>
        <xdr:cNvSpPr txBox="1"/>
      </xdr:nvSpPr>
      <xdr:spPr>
        <a:xfrm>
          <a:off x="3989905" y="5411662"/>
          <a:ext cx="89245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800"/>
            <a:t>Valor Líquido</a:t>
          </a:r>
        </a:p>
      </xdr:txBody>
    </xdr:sp>
    <xdr:clientData/>
  </xdr:oneCellAnchor>
  <xdr:oneCellAnchor>
    <xdr:from>
      <xdr:col>10</xdr:col>
      <xdr:colOff>125530</xdr:colOff>
      <xdr:row>0</xdr:row>
      <xdr:rowOff>0</xdr:rowOff>
    </xdr:from>
    <xdr:ext cx="311496" cy="6239946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A5DACB01-8FED-DE07-DCA9-5AC2057B5C99}"/>
            </a:ext>
          </a:extLst>
        </xdr:cNvPr>
        <xdr:cNvSpPr txBox="1"/>
      </xdr:nvSpPr>
      <xdr:spPr>
        <a:xfrm rot="16200000">
          <a:off x="3122834" y="2964225"/>
          <a:ext cx="623994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400"/>
            <a:t>DECLARO TER RECEBIDO A IMPORTÂNCIA LÍQUIDA DISCRIMINADA NESTE RECIBO</a:t>
          </a:r>
        </a:p>
      </xdr:txBody>
    </xdr:sp>
    <xdr:clientData/>
  </xdr:oneCellAnchor>
  <xdr:oneCellAnchor>
    <xdr:from>
      <xdr:col>11</xdr:col>
      <xdr:colOff>130660</xdr:colOff>
      <xdr:row>26</xdr:row>
      <xdr:rowOff>139454</xdr:rowOff>
    </xdr:from>
    <xdr:ext cx="264560" cy="1681101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A49D3C5D-B720-F8BB-9224-35D74BE2CF57}"/>
            </a:ext>
          </a:extLst>
        </xdr:cNvPr>
        <xdr:cNvSpPr txBox="1"/>
      </xdr:nvSpPr>
      <xdr:spPr>
        <a:xfrm rot="16200000">
          <a:off x="5989036" y="4971490"/>
          <a:ext cx="168110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________/________/________</a:t>
          </a:r>
        </a:p>
      </xdr:txBody>
    </xdr:sp>
    <xdr:clientData/>
  </xdr:oneCellAnchor>
  <xdr:oneCellAnchor>
    <xdr:from>
      <xdr:col>11</xdr:col>
      <xdr:colOff>452235</xdr:colOff>
      <xdr:row>29</xdr:row>
      <xdr:rowOff>179126</xdr:rowOff>
    </xdr:from>
    <xdr:ext cx="289184" cy="485261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74E10271-A3E9-7C00-B9FF-03230F960E10}"/>
            </a:ext>
          </a:extLst>
        </xdr:cNvPr>
        <xdr:cNvSpPr txBox="1"/>
      </xdr:nvSpPr>
      <xdr:spPr>
        <a:xfrm rot="16200000">
          <a:off x="6897457" y="4956839"/>
          <a:ext cx="485261" cy="2891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pt-BR" sz="1100"/>
            <a:t>DATA</a:t>
          </a:r>
        </a:p>
      </xdr:txBody>
    </xdr:sp>
    <xdr:clientData/>
  </xdr:oneCellAnchor>
  <xdr:oneCellAnchor>
    <xdr:from>
      <xdr:col>11</xdr:col>
      <xdr:colOff>112430</xdr:colOff>
      <xdr:row>1</xdr:row>
      <xdr:rowOff>163383</xdr:rowOff>
    </xdr:from>
    <xdr:ext cx="264560" cy="3763531"/>
    <xdr:sp macro="" textlink="">
      <xdr:nvSpPr>
        <xdr:cNvPr id="9" name="CaixaDeTexto 8">
          <a:extLst>
            <a:ext uri="{FF2B5EF4-FFF2-40B4-BE49-F238E27FC236}">
              <a16:creationId xmlns:a16="http://schemas.microsoft.com/office/drawing/2014/main" id="{A35625D4-63A0-916C-02F4-C8F538010C1E}"/>
            </a:ext>
          </a:extLst>
        </xdr:cNvPr>
        <xdr:cNvSpPr txBox="1"/>
      </xdr:nvSpPr>
      <xdr:spPr>
        <a:xfrm rot="16200000">
          <a:off x="4906205" y="2037108"/>
          <a:ext cx="37635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_____________________________________________________________</a:t>
          </a:r>
        </a:p>
      </xdr:txBody>
    </xdr:sp>
    <xdr:clientData/>
  </xdr:oneCellAnchor>
  <xdr:oneCellAnchor>
    <xdr:from>
      <xdr:col>11</xdr:col>
      <xdr:colOff>450269</xdr:colOff>
      <xdr:row>11</xdr:row>
      <xdr:rowOff>51243</xdr:rowOff>
    </xdr:from>
    <xdr:ext cx="264560" cy="1981761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C997B277-7040-D29F-57B2-0E519BF215D7}"/>
            </a:ext>
          </a:extLst>
        </xdr:cNvPr>
        <xdr:cNvSpPr txBox="1"/>
      </xdr:nvSpPr>
      <xdr:spPr>
        <a:xfrm rot="16200000">
          <a:off x="6134929" y="1994866"/>
          <a:ext cx="198176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ASSINATURA DO FUNCIONÁRIO</a:t>
          </a:r>
        </a:p>
      </xdr:txBody>
    </xdr:sp>
    <xdr:clientData/>
  </xdr:oneCellAnchor>
  <xdr:twoCellAnchor editAs="oneCell">
    <xdr:from>
      <xdr:col>1</xdr:col>
      <xdr:colOff>74542</xdr:colOff>
      <xdr:row>7</xdr:row>
      <xdr:rowOff>41413</xdr:rowOff>
    </xdr:from>
    <xdr:to>
      <xdr:col>8</xdr:col>
      <xdr:colOff>533497</xdr:colOff>
      <xdr:row>12</xdr:row>
      <xdr:rowOff>156057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AF8BC171-879A-4901-7B78-B59DF3B4A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194" y="737152"/>
          <a:ext cx="5408545" cy="56190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SALARIO%20LIQUIDO%20-%2020255.xlsx" TargetMode="External"/><Relationship Id="rId2" Type="http://schemas.openxmlformats.org/officeDocument/2006/relationships/externalLinkPath" Target="file:///C:\Users\User\Downloads\SALARIO%20LIQUIDO%20-%2020255.xlsx" TargetMode="External"/><Relationship Id="rId1" Type="http://schemas.openxmlformats.org/officeDocument/2006/relationships/externalLinkPath" Target="/Users/User/Downloads/SALARIO%20LIQUIDO%20-%202025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lário Líquido 2025"/>
      <sheetName val="Tabelas"/>
      <sheetName val="Cálculo"/>
      <sheetName val="Plan1"/>
      <sheetName val="Plan2"/>
      <sheetName val="Plan3"/>
      <sheetName val="Planilha1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3D26AE-924F-4217-8BFA-1781443072DB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f93ed842-49ef-4bc4-97e1-e2af1953b45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DA32E-769D-4026-A3B2-21FD2DD88D3F}">
  <dimension ref="B1:S29"/>
  <sheetViews>
    <sheetView showGridLines="0" tabSelected="1" workbookViewId="0">
      <selection activeCell="S12" sqref="S12"/>
    </sheetView>
  </sheetViews>
  <sheetFormatPr defaultRowHeight="15" x14ac:dyDescent="0.25"/>
  <cols>
    <col min="1" max="1" width="1.85546875" customWidth="1"/>
    <col min="2" max="2" width="33.28515625" hidden="1" customWidth="1"/>
    <col min="3" max="3" width="8" hidden="1" customWidth="1"/>
    <col min="4" max="4" width="9" hidden="1" customWidth="1"/>
    <col min="5" max="5" width="14.7109375" hidden="1" customWidth="1"/>
    <col min="6" max="6" width="27.5703125" bestFit="1" customWidth="1"/>
    <col min="7" max="7" width="6.28515625" bestFit="1" customWidth="1"/>
    <col min="8" max="8" width="6.140625" bestFit="1" customWidth="1"/>
    <col min="9" max="9" width="18.140625" bestFit="1" customWidth="1"/>
    <col min="11" max="11" width="36.140625" bestFit="1" customWidth="1"/>
    <col min="12" max="12" width="13" customWidth="1"/>
    <col min="14" max="14" width="33.28515625" bestFit="1" customWidth="1"/>
    <col min="15" max="15" width="8" bestFit="1" customWidth="1"/>
    <col min="16" max="16" width="18.140625" bestFit="1" customWidth="1"/>
  </cols>
  <sheetData>
    <row r="1" spans="6:19" ht="9.75" customHeight="1" thickBot="1" x14ac:dyDescent="0.3"/>
    <row r="2" spans="6:19" ht="16.5" thickBot="1" x14ac:dyDescent="0.3">
      <c r="F2" s="121" t="s">
        <v>8</v>
      </c>
      <c r="G2" s="122"/>
      <c r="H2" s="122"/>
      <c r="I2" s="123"/>
      <c r="K2" s="115" t="s">
        <v>14</v>
      </c>
      <c r="L2" s="19"/>
      <c r="N2" s="124" t="s">
        <v>88</v>
      </c>
      <c r="O2" s="125"/>
      <c r="P2" s="123"/>
    </row>
    <row r="3" spans="6:19" ht="15.75" x14ac:dyDescent="0.25">
      <c r="F3" s="16" t="s">
        <v>9</v>
      </c>
      <c r="G3" s="15"/>
      <c r="H3" s="15"/>
      <c r="I3" s="108">
        <v>3969.38</v>
      </c>
      <c r="K3" s="112" t="s">
        <v>15</v>
      </c>
      <c r="L3" s="116">
        <v>25</v>
      </c>
      <c r="N3" s="96" t="s">
        <v>89</v>
      </c>
      <c r="O3" s="97"/>
      <c r="P3" s="98">
        <f>I16</f>
        <v>17969.38</v>
      </c>
    </row>
    <row r="4" spans="6:19" ht="16.5" thickBot="1" x14ac:dyDescent="0.3">
      <c r="F4" s="16" t="s">
        <v>18</v>
      </c>
      <c r="G4" s="17"/>
      <c r="H4" s="86"/>
      <c r="I4" s="108"/>
      <c r="K4" s="113" t="s">
        <v>16</v>
      </c>
      <c r="L4" s="111">
        <v>6</v>
      </c>
      <c r="N4" s="103" t="s">
        <v>90</v>
      </c>
      <c r="O4" s="104">
        <v>0.08</v>
      </c>
      <c r="P4" s="105">
        <f>O4*P3</f>
        <v>1437.5504000000001</v>
      </c>
    </row>
    <row r="5" spans="6:19" ht="16.5" thickBot="1" x14ac:dyDescent="0.3">
      <c r="F5" s="16" t="s">
        <v>10</v>
      </c>
      <c r="G5" s="17">
        <v>0.5</v>
      </c>
      <c r="H5" s="109"/>
      <c r="I5" s="18">
        <f>((((I3+I4)/220)*G5)+(I3+I4)/220)*ROUND((TRUNC(H5)+(MOD(H5,1)*100/60)), 2)</f>
        <v>0</v>
      </c>
      <c r="N5" s="96" t="s">
        <v>91</v>
      </c>
      <c r="O5" s="99">
        <v>0.2</v>
      </c>
      <c r="P5" s="98">
        <f>O5*P3</f>
        <v>3593.8760000000002</v>
      </c>
    </row>
    <row r="6" spans="6:19" ht="16.5" thickBot="1" x14ac:dyDescent="0.3">
      <c r="F6" s="16" t="s">
        <v>11</v>
      </c>
      <c r="G6" s="17">
        <v>1</v>
      </c>
      <c r="H6" s="109"/>
      <c r="I6" s="18">
        <f>((((I3+I4)/220)*G6)+(I3+I4)/220)*(TRUNC(H6)+(MOD(H6,1)*100/60))</f>
        <v>0</v>
      </c>
      <c r="K6" s="117" t="s">
        <v>93</v>
      </c>
      <c r="L6" s="118"/>
      <c r="N6" s="96" t="s">
        <v>119</v>
      </c>
      <c r="O6" s="99">
        <v>0.03</v>
      </c>
      <c r="P6" s="98">
        <f>P3*O6</f>
        <v>539.08140000000003</v>
      </c>
    </row>
    <row r="7" spans="6:19" ht="16.5" thickBot="1" x14ac:dyDescent="0.3">
      <c r="F7" s="16" t="s">
        <v>75</v>
      </c>
      <c r="G7" s="17"/>
      <c r="H7" s="86"/>
      <c r="I7" s="108"/>
      <c r="N7" s="96" t="s">
        <v>92</v>
      </c>
      <c r="O7" s="99">
        <v>5.8000000000000003E-2</v>
      </c>
      <c r="P7" s="98">
        <f>P3*O7</f>
        <v>1042.2240400000001</v>
      </c>
      <c r="S7" s="114"/>
    </row>
    <row r="8" spans="6:19" ht="16.5" thickBot="1" x14ac:dyDescent="0.3">
      <c r="F8" s="16" t="s">
        <v>17</v>
      </c>
      <c r="G8" s="17"/>
      <c r="H8" s="86"/>
      <c r="I8" s="108">
        <v>14000</v>
      </c>
      <c r="K8" s="117" t="s">
        <v>106</v>
      </c>
      <c r="L8" s="118" t="s">
        <v>110</v>
      </c>
      <c r="N8" s="16" t="s">
        <v>120</v>
      </c>
      <c r="O8" s="161">
        <v>0.02</v>
      </c>
      <c r="P8" s="18"/>
    </row>
    <row r="9" spans="6:19" ht="16.5" thickBot="1" x14ac:dyDescent="0.3">
      <c r="F9" s="16" t="s">
        <v>87</v>
      </c>
      <c r="G9" s="17"/>
      <c r="H9" s="86"/>
      <c r="I9" s="18">
        <f>(I4/L3)*L4</f>
        <v>0</v>
      </c>
      <c r="N9" s="100" t="s">
        <v>13</v>
      </c>
      <c r="O9" s="101"/>
      <c r="P9" s="102">
        <f>SUM(P3:P7)</f>
        <v>24582.111840000001</v>
      </c>
    </row>
    <row r="10" spans="6:19" ht="16.5" thickBot="1" x14ac:dyDescent="0.3">
      <c r="F10" s="16" t="s">
        <v>12</v>
      </c>
      <c r="G10" s="17"/>
      <c r="H10" s="86"/>
      <c r="I10" s="18">
        <f>((I5+I6)/L3)*L4</f>
        <v>0</v>
      </c>
      <c r="K10" s="117" t="s">
        <v>111</v>
      </c>
      <c r="L10" s="118">
        <v>30</v>
      </c>
    </row>
    <row r="11" spans="6:19" ht="15.75" x14ac:dyDescent="0.25">
      <c r="F11" s="16" t="s">
        <v>56</v>
      </c>
      <c r="G11" s="17">
        <v>0.2</v>
      </c>
      <c r="H11" s="86"/>
      <c r="I11" s="18">
        <f>IF(J11=TRUE, Cálculo!D27, 0)</f>
        <v>0</v>
      </c>
      <c r="J11" s="64" t="b">
        <v>0</v>
      </c>
      <c r="L11" s="120"/>
    </row>
    <row r="12" spans="6:19" ht="16.5" thickBot="1" x14ac:dyDescent="0.3">
      <c r="F12" s="16" t="s">
        <v>59</v>
      </c>
      <c r="G12" s="69">
        <v>0.3</v>
      </c>
      <c r="H12" s="86"/>
      <c r="I12" s="18">
        <f>IF(J12=TRUE,Cálculo!D32, 0)</f>
        <v>0</v>
      </c>
      <c r="J12" s="64" t="b">
        <v>0</v>
      </c>
    </row>
    <row r="13" spans="6:19" ht="15.75" customHeight="1" x14ac:dyDescent="0.25">
      <c r="F13" s="16" t="s">
        <v>64</v>
      </c>
      <c r="G13" s="17"/>
      <c r="H13" s="110"/>
      <c r="I13" s="18">
        <f>Cálculo!D37</f>
        <v>0</v>
      </c>
      <c r="K13" s="126" t="s">
        <v>94</v>
      </c>
      <c r="L13" s="127"/>
      <c r="M13" s="127"/>
      <c r="N13" s="127"/>
      <c r="O13" s="127"/>
      <c r="P13" s="127"/>
      <c r="Q13" s="128"/>
    </row>
    <row r="14" spans="6:19" ht="15.75" x14ac:dyDescent="0.25">
      <c r="F14" s="16" t="s">
        <v>63</v>
      </c>
      <c r="G14" s="17"/>
      <c r="H14" s="110"/>
      <c r="I14" s="18">
        <f>Cálculo!D42</f>
        <v>0</v>
      </c>
      <c r="K14" s="129"/>
      <c r="L14" s="162"/>
      <c r="M14" s="162"/>
      <c r="N14" s="162"/>
      <c r="O14" s="162"/>
      <c r="P14" s="162"/>
      <c r="Q14" s="130"/>
    </row>
    <row r="15" spans="6:19" ht="15.75" x14ac:dyDescent="0.25">
      <c r="F15" s="16" t="s">
        <v>76</v>
      </c>
      <c r="G15" s="17"/>
      <c r="H15" s="110"/>
      <c r="I15" s="18">
        <f>Cálculo!D57</f>
        <v>0</v>
      </c>
      <c r="K15" s="129"/>
      <c r="L15" s="162"/>
      <c r="M15" s="162"/>
      <c r="N15" s="162"/>
      <c r="O15" s="162"/>
      <c r="P15" s="162"/>
      <c r="Q15" s="130"/>
    </row>
    <row r="16" spans="6:19" ht="16.5" thickBot="1" x14ac:dyDescent="0.3">
      <c r="F16" s="66" t="s">
        <v>13</v>
      </c>
      <c r="G16" s="67"/>
      <c r="H16" s="67"/>
      <c r="I16" s="68">
        <f>SUM(I3:I12)-SUM(I13:I15)</f>
        <v>17969.38</v>
      </c>
      <c r="K16" s="129"/>
      <c r="L16" s="162"/>
      <c r="M16" s="162"/>
      <c r="N16" s="162"/>
      <c r="O16" s="162"/>
      <c r="P16" s="162"/>
      <c r="Q16" s="130"/>
    </row>
    <row r="17" spans="11:17" x14ac:dyDescent="0.25">
      <c r="K17" s="129"/>
      <c r="L17" s="162"/>
      <c r="M17" s="162"/>
      <c r="N17" s="162"/>
      <c r="O17" s="162"/>
      <c r="P17" s="162"/>
      <c r="Q17" s="130"/>
    </row>
    <row r="18" spans="11:17" x14ac:dyDescent="0.25">
      <c r="K18" s="129"/>
      <c r="L18" s="162"/>
      <c r="M18" s="162"/>
      <c r="N18" s="162"/>
      <c r="O18" s="162"/>
      <c r="P18" s="162"/>
      <c r="Q18" s="130"/>
    </row>
    <row r="19" spans="11:17" x14ac:dyDescent="0.25">
      <c r="K19" s="129"/>
      <c r="L19" s="162"/>
      <c r="M19" s="162"/>
      <c r="N19" s="162"/>
      <c r="O19" s="162"/>
      <c r="P19" s="162"/>
      <c r="Q19" s="130"/>
    </row>
    <row r="20" spans="11:17" x14ac:dyDescent="0.25">
      <c r="K20" s="129"/>
      <c r="L20" s="162"/>
      <c r="M20" s="162"/>
      <c r="N20" s="162"/>
      <c r="O20" s="162"/>
      <c r="P20" s="162"/>
      <c r="Q20" s="130"/>
    </row>
    <row r="21" spans="11:17" x14ac:dyDescent="0.25">
      <c r="K21" s="129"/>
      <c r="L21" s="162"/>
      <c r="M21" s="162"/>
      <c r="N21" s="162"/>
      <c r="O21" s="162"/>
      <c r="P21" s="162"/>
      <c r="Q21" s="130"/>
    </row>
    <row r="22" spans="11:17" x14ac:dyDescent="0.25">
      <c r="K22" s="129"/>
      <c r="L22" s="162"/>
      <c r="M22" s="162"/>
      <c r="N22" s="162"/>
      <c r="O22" s="162"/>
      <c r="P22" s="162"/>
      <c r="Q22" s="130"/>
    </row>
    <row r="23" spans="11:17" x14ac:dyDescent="0.25">
      <c r="K23" s="129"/>
      <c r="L23" s="162"/>
      <c r="M23" s="162"/>
      <c r="N23" s="162"/>
      <c r="O23" s="162"/>
      <c r="P23" s="162"/>
      <c r="Q23" s="130"/>
    </row>
    <row r="24" spans="11:17" x14ac:dyDescent="0.25">
      <c r="K24" s="129"/>
      <c r="L24" s="162"/>
      <c r="M24" s="162"/>
      <c r="N24" s="162"/>
      <c r="O24" s="162"/>
      <c r="P24" s="162"/>
      <c r="Q24" s="130"/>
    </row>
    <row r="25" spans="11:17" x14ac:dyDescent="0.25">
      <c r="K25" s="129"/>
      <c r="L25" s="162"/>
      <c r="M25" s="162"/>
      <c r="N25" s="162"/>
      <c r="O25" s="162"/>
      <c r="P25" s="162"/>
      <c r="Q25" s="130"/>
    </row>
    <row r="26" spans="11:17" x14ac:dyDescent="0.25">
      <c r="K26" s="129"/>
      <c r="L26" s="162"/>
      <c r="M26" s="162"/>
      <c r="N26" s="162"/>
      <c r="O26" s="162"/>
      <c r="P26" s="162"/>
      <c r="Q26" s="130"/>
    </row>
    <row r="27" spans="11:17" x14ac:dyDescent="0.25">
      <c r="K27" s="129"/>
      <c r="L27" s="162"/>
      <c r="M27" s="162"/>
      <c r="N27" s="162"/>
      <c r="O27" s="162"/>
      <c r="P27" s="162"/>
      <c r="Q27" s="130"/>
    </row>
    <row r="28" spans="11:17" x14ac:dyDescent="0.25">
      <c r="K28" s="129"/>
      <c r="L28" s="162"/>
      <c r="M28" s="162"/>
      <c r="N28" s="162"/>
      <c r="O28" s="162"/>
      <c r="P28" s="162"/>
      <c r="Q28" s="130"/>
    </row>
    <row r="29" spans="11:17" ht="15.75" thickBot="1" x14ac:dyDescent="0.3">
      <c r="K29" s="131"/>
      <c r="L29" s="132"/>
      <c r="M29" s="132"/>
      <c r="N29" s="132"/>
      <c r="O29" s="132"/>
      <c r="P29" s="132"/>
      <c r="Q29" s="133"/>
    </row>
  </sheetData>
  <dataConsolidate/>
  <mergeCells count="3">
    <mergeCell ref="F2:I2"/>
    <mergeCell ref="N2:P2"/>
    <mergeCell ref="K13:Q29"/>
  </mergeCells>
  <dataValidations count="3">
    <dataValidation type="list" allowBlank="1" showInputMessage="1" showErrorMessage="1" sqref="G11" xr:uid="{F7979DFD-2F6C-4E0A-A90F-ECF009927E3C}">
      <formula1>"10%, 20%, 40%"</formula1>
    </dataValidation>
    <dataValidation type="custom" allowBlank="1" showInputMessage="1" showErrorMessage="1" sqref="G12" xr:uid="{F8778C31-D46F-42CE-92FA-C4A9E6495879}">
      <formula1>0.3</formula1>
    </dataValidation>
    <dataValidation type="list" allowBlank="1" showInputMessage="1" showErrorMessage="1" sqref="L8" xr:uid="{FC56F290-93B0-45DA-A0AE-090568187852}">
      <formula1>"Sim,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2999-594C-46F6-946D-55D831B882FB}">
  <dimension ref="B1:V39"/>
  <sheetViews>
    <sheetView showGridLines="0" topLeftCell="A10" zoomScale="85" zoomScaleNormal="85" workbookViewId="0">
      <selection activeCell="U30" sqref="U30"/>
    </sheetView>
  </sheetViews>
  <sheetFormatPr defaultRowHeight="15" x14ac:dyDescent="0.25"/>
  <cols>
    <col min="1" max="1" width="2.42578125" customWidth="1"/>
    <col min="3" max="4" width="9.140625" customWidth="1"/>
    <col min="7" max="7" width="12.42578125" bestFit="1" customWidth="1"/>
    <col min="8" max="8" width="15.7109375" customWidth="1"/>
    <col min="9" max="9" width="13.85546875" bestFit="1" customWidth="1"/>
    <col min="10" max="10" width="1.85546875" customWidth="1"/>
    <col min="13" max="13" width="3.7109375" customWidth="1"/>
    <col min="17" max="17" width="36.42578125" bestFit="1" customWidth="1"/>
    <col min="18" max="18" width="9.140625" customWidth="1"/>
    <col min="19" max="19" width="9.5703125" bestFit="1" customWidth="1"/>
  </cols>
  <sheetData>
    <row r="1" spans="2:13" ht="9.75" customHeight="1" x14ac:dyDescent="0.25"/>
    <row r="2" spans="2:13" ht="15" customHeight="1" x14ac:dyDescent="0.25">
      <c r="B2" s="146" t="s">
        <v>85</v>
      </c>
      <c r="C2" s="147"/>
      <c r="D2" s="147"/>
      <c r="E2" s="147"/>
      <c r="F2" s="72"/>
      <c r="G2" s="150" t="s">
        <v>86</v>
      </c>
      <c r="H2" s="151"/>
      <c r="I2" s="152"/>
      <c r="K2" s="71"/>
      <c r="L2" s="72"/>
      <c r="M2" s="73"/>
    </row>
    <row r="3" spans="2:13" ht="6.75" customHeight="1" x14ac:dyDescent="0.25">
      <c r="B3" s="148"/>
      <c r="C3" s="149"/>
      <c r="D3" s="149"/>
      <c r="E3" s="149"/>
      <c r="G3" s="153"/>
      <c r="H3" s="153"/>
      <c r="I3" s="154"/>
      <c r="K3" s="74"/>
      <c r="M3" s="75"/>
    </row>
    <row r="4" spans="2:13" ht="6" customHeight="1" x14ac:dyDescent="0.25">
      <c r="B4" s="148"/>
      <c r="C4" s="149"/>
      <c r="D4" s="149"/>
      <c r="E4" s="149"/>
      <c r="I4" s="75"/>
      <c r="K4" s="74"/>
      <c r="M4" s="75"/>
    </row>
    <row r="5" spans="2:13" ht="6" customHeight="1" x14ac:dyDescent="0.35">
      <c r="B5" s="84"/>
      <c r="C5" s="85"/>
      <c r="D5" s="85"/>
      <c r="E5" s="85"/>
      <c r="I5" s="75"/>
      <c r="K5" s="74"/>
      <c r="M5" s="75"/>
    </row>
    <row r="6" spans="2:13" ht="6.75" customHeight="1" x14ac:dyDescent="0.25">
      <c r="B6" s="76"/>
      <c r="C6" s="77"/>
      <c r="D6" s="77"/>
      <c r="E6" s="77"/>
      <c r="F6" s="77"/>
      <c r="G6" s="77"/>
      <c r="H6" s="77"/>
      <c r="I6" s="78"/>
      <c r="K6" s="74"/>
      <c r="M6" s="75"/>
    </row>
    <row r="7" spans="2:13" ht="5.25" customHeight="1" x14ac:dyDescent="0.25">
      <c r="K7" s="74"/>
      <c r="M7" s="75"/>
    </row>
    <row r="8" spans="2:13" ht="5.25" customHeight="1" x14ac:dyDescent="0.25">
      <c r="B8" s="71"/>
      <c r="C8" s="72"/>
      <c r="D8" s="72"/>
      <c r="E8" s="72"/>
      <c r="F8" s="72"/>
      <c r="G8" s="72"/>
      <c r="H8" s="72"/>
      <c r="I8" s="73"/>
      <c r="K8" s="74"/>
      <c r="M8" s="75"/>
    </row>
    <row r="9" spans="2:13" ht="13.5" customHeight="1" x14ac:dyDescent="0.25">
      <c r="B9" s="74"/>
      <c r="I9" s="75"/>
      <c r="K9" s="74"/>
      <c r="M9" s="75"/>
    </row>
    <row r="10" spans="2:13" ht="6" customHeight="1" x14ac:dyDescent="0.25">
      <c r="B10" s="74"/>
      <c r="I10" s="75"/>
      <c r="K10" s="74"/>
      <c r="M10" s="75"/>
    </row>
    <row r="11" spans="2:13" ht="6" customHeight="1" x14ac:dyDescent="0.25">
      <c r="B11" s="74"/>
      <c r="I11" s="75"/>
      <c r="K11" s="74"/>
      <c r="M11" s="75"/>
    </row>
    <row r="12" spans="2:13" ht="4.5" customHeight="1" x14ac:dyDescent="0.25">
      <c r="B12" s="74"/>
      <c r="I12" s="75"/>
      <c r="K12" s="74"/>
      <c r="M12" s="75"/>
    </row>
    <row r="13" spans="2:13" x14ac:dyDescent="0.25">
      <c r="B13" s="76"/>
      <c r="C13" s="77"/>
      <c r="D13" s="77"/>
      <c r="E13" s="77"/>
      <c r="F13" s="77"/>
      <c r="G13" s="77"/>
      <c r="H13" s="77"/>
      <c r="I13" s="78"/>
      <c r="K13" s="74"/>
      <c r="M13" s="75"/>
    </row>
    <row r="14" spans="2:13" ht="8.25" customHeight="1" x14ac:dyDescent="0.25">
      <c r="K14" s="74"/>
      <c r="M14" s="75"/>
    </row>
    <row r="15" spans="2:13" x14ac:dyDescent="0.25">
      <c r="B15" s="79" t="s">
        <v>78</v>
      </c>
      <c r="C15" s="143" t="s">
        <v>79</v>
      </c>
      <c r="D15" s="144"/>
      <c r="E15" s="144"/>
      <c r="F15" s="145"/>
      <c r="G15" s="79" t="s">
        <v>82</v>
      </c>
      <c r="H15" s="79" t="s">
        <v>81</v>
      </c>
      <c r="I15" s="79" t="s">
        <v>80</v>
      </c>
      <c r="K15" s="74"/>
      <c r="M15" s="75"/>
    </row>
    <row r="16" spans="2:13" x14ac:dyDescent="0.25">
      <c r="B16" s="93" t="str">
        <f>IF(Calculadora!I3&lt;&gt;"", "1","")</f>
        <v>1</v>
      </c>
      <c r="C16" s="140" t="str">
        <f>IF(Calculadora!I3&lt;&gt;"", "HORAS NORMAIS","")</f>
        <v>HORAS NORMAIS</v>
      </c>
      <c r="D16" s="141"/>
      <c r="E16" s="141"/>
      <c r="F16" s="142"/>
      <c r="G16" s="119">
        <f>IF(Calculadora!I3&lt;&gt;"", Cálculo!F92, "")</f>
        <v>9.1666666666666661</v>
      </c>
      <c r="H16" s="88">
        <f>IF(Calculadora!I3&lt;&gt;"",Calculadora!I3,"")</f>
        <v>3969.38</v>
      </c>
      <c r="I16" s="88"/>
      <c r="K16" s="74"/>
      <c r="M16" s="75"/>
    </row>
    <row r="17" spans="2:22" x14ac:dyDescent="0.25">
      <c r="B17" s="92" t="str">
        <f>IF(Calculadora!I4&lt;&gt;"", "37", "")</f>
        <v/>
      </c>
      <c r="C17" s="134" t="str">
        <f>IF(Calculadora!I4&lt;&gt;"", "COMISSOES", "")</f>
        <v/>
      </c>
      <c r="D17" s="135"/>
      <c r="E17" s="135"/>
      <c r="F17" s="136"/>
      <c r="G17" s="91" t="str">
        <f>+IF(Calculadora!I4&lt;&gt;"",Calculadora!I4,"")</f>
        <v/>
      </c>
      <c r="H17" s="89" t="str">
        <f>IF(Calculadora!I4&lt;&gt;"",Calculadora!I4,"")</f>
        <v/>
      </c>
      <c r="I17" s="89"/>
      <c r="K17" s="74"/>
      <c r="M17" s="75"/>
    </row>
    <row r="18" spans="2:22" x14ac:dyDescent="0.25">
      <c r="B18" s="92" t="str">
        <f>IF(AND(Calculadora!I5&lt;&gt;"",Calculadora!I5&lt;&gt;0),"5000","")</f>
        <v/>
      </c>
      <c r="C18" s="134" t="str">
        <f>IF(AND(Calculadora!I5&lt;&gt;"",Calculadora!I5&lt;&gt;0),"HORAS EXTRA 50%","")</f>
        <v/>
      </c>
      <c r="D18" s="135"/>
      <c r="E18" s="135"/>
      <c r="F18" s="136"/>
      <c r="G18" s="92" t="str">
        <f>IF(AND(Calculadora!H5&lt;&gt;"",Calculadora!H5&lt;&gt;0),Calculadora!H5,"")</f>
        <v/>
      </c>
      <c r="H18" s="91" t="str">
        <f>IF(AND(Calculadora!I5&lt;&gt;"",Calculadora!I5&lt;&gt;0),Calculadora!I5,"")</f>
        <v/>
      </c>
      <c r="I18" s="89"/>
      <c r="K18" s="74"/>
      <c r="M18" s="75"/>
    </row>
    <row r="19" spans="2:22" x14ac:dyDescent="0.25">
      <c r="B19" s="92" t="str">
        <f>IF(AND(Calculadora!I6&lt;&gt;"",Calculadora!I6&lt;&gt;0),"5001","")</f>
        <v/>
      </c>
      <c r="C19" s="134" t="str">
        <f>IF(AND(Calculadora!I6&lt;&gt;"",Calculadora!I6&lt;&gt;0),"HORAS EXTRA 100%","")</f>
        <v/>
      </c>
      <c r="D19" s="135"/>
      <c r="E19" s="135"/>
      <c r="F19" s="136"/>
      <c r="G19" s="92" t="str">
        <f>IF(AND(Calculadora!H6&lt;&gt;"",Calculadora!H6&lt;&gt;0),Calculadora!H6,"")</f>
        <v/>
      </c>
      <c r="H19" s="91" t="str">
        <f>IF(AND(Calculadora!I6&lt;&gt;"",Calculadora!I6&lt;&gt;0),Calculadora!I6,"")</f>
        <v/>
      </c>
      <c r="I19" s="89"/>
      <c r="K19" s="74"/>
      <c r="M19" s="75"/>
    </row>
    <row r="20" spans="2:22" x14ac:dyDescent="0.25">
      <c r="B20" s="92" t="str">
        <f>IF(Calculadora!I7&lt;&gt;"", "20", "")</f>
        <v/>
      </c>
      <c r="C20" s="134" t="str">
        <f>IF(Calculadora!I7&lt;&gt;"", "GRATIFICACOES", "")</f>
        <v/>
      </c>
      <c r="D20" s="135"/>
      <c r="E20" s="135"/>
      <c r="F20" s="136"/>
      <c r="G20" s="92" t="str">
        <f>IF(AND(Calculadora!I7&lt;&gt;"",Calculadora!I7&lt;&gt;0),Calculadora!I7,"")</f>
        <v/>
      </c>
      <c r="H20" s="92" t="str">
        <f>IF(AND(Calculadora!I7&lt;&gt;"",Calculadora!I7&lt;&gt;0),Calculadora!I7,"")</f>
        <v/>
      </c>
      <c r="I20" s="89"/>
      <c r="K20" s="74"/>
      <c r="M20" s="75"/>
    </row>
    <row r="21" spans="2:22" x14ac:dyDescent="0.25">
      <c r="B21" s="92" t="str">
        <f>IF(Calculadora!I8&lt;&gt;"", "5080", "")</f>
        <v>5080</v>
      </c>
      <c r="C21" s="134" t="str">
        <f>IF(Calculadora!I8&lt;&gt;"", "PREMIO", "")</f>
        <v>PREMIO</v>
      </c>
      <c r="D21" s="135"/>
      <c r="E21" s="135"/>
      <c r="F21" s="136"/>
      <c r="G21" s="81"/>
      <c r="H21" s="92">
        <f>IF(AND(Calculadora!I8&lt;&gt;"",Calculadora!I8&lt;&gt;0),Calculadora!I8,"")</f>
        <v>14000</v>
      </c>
      <c r="I21" s="89"/>
      <c r="K21" s="74"/>
      <c r="M21" s="75"/>
    </row>
    <row r="22" spans="2:22" x14ac:dyDescent="0.25">
      <c r="B22" s="92" t="str">
        <f>IF(AND(Calculadora!I10&lt;&gt;"",Calculadora!I10&lt;&gt;0),"250","")</f>
        <v/>
      </c>
      <c r="C22" s="134" t="str">
        <f>IF(AND(Calculadora!I10&lt;&gt;"",Calculadora!I10&lt;&gt;0),"REFLEXO EXTRA DSR","")</f>
        <v/>
      </c>
      <c r="D22" s="135"/>
      <c r="E22" s="135"/>
      <c r="F22" s="136"/>
      <c r="G22" s="81"/>
      <c r="H22" s="91" t="str">
        <f>IF(AND(Calculadora!I10&lt;&gt;"",Calculadora!I10&lt;&gt;0),Calculadora!I10,"")</f>
        <v/>
      </c>
      <c r="I22" s="89"/>
      <c r="K22" s="74"/>
      <c r="M22" s="75"/>
    </row>
    <row r="23" spans="2:22" x14ac:dyDescent="0.25">
      <c r="B23" s="92" t="str">
        <f>IF(AND(Calculadora!I9&lt;&gt;"",Calculadora!I9&lt;&gt;0),"853","")</f>
        <v/>
      </c>
      <c r="C23" s="134" t="str">
        <f>IF(AND(Calculadora!I9&lt;&gt;"",Calculadora!I9&lt;&gt;0),"REFLEXO COMISSOES DSR","")</f>
        <v/>
      </c>
      <c r="D23" s="135"/>
      <c r="E23" s="135"/>
      <c r="F23" s="136"/>
      <c r="G23" s="81"/>
      <c r="H23" s="91" t="str">
        <f>IF(AND(Calculadora!I9&lt;&gt;"",Calculadora!I9&lt;&gt;0),Calculadora!I9,"")</f>
        <v/>
      </c>
      <c r="I23" s="89"/>
      <c r="K23" s="74"/>
      <c r="M23" s="75"/>
      <c r="V23" s="87"/>
    </row>
    <row r="24" spans="2:22" x14ac:dyDescent="0.25">
      <c r="B24" s="92" t="str">
        <f>IF(AND(Calculadora!I11&lt;&gt;"",Calculadora!I11&lt;&gt;0),IF(Calculadora!G11=10%, "15", IF(Calculadora!G11=20%, "16", IF(Calculadora!G11=40%, "17", ""))),"")</f>
        <v/>
      </c>
      <c r="C24" s="137" t="str">
        <f>IF(AND(Calculadora!I11&lt;&gt;"",Calculadora!I11&lt;&gt;0),IF(Calculadora!G11=10%, "INSALUBRIDADE 10%", IF(Calculadora!G11=20%, "INSALUBRIDADE 20%", IF(Calculadora!G11=40%, "1INSALUBRIDADE 40%", ""))),"")</f>
        <v/>
      </c>
      <c r="D24" s="138"/>
      <c r="E24" s="138"/>
      <c r="F24" s="139"/>
      <c r="G24" s="94" t="str">
        <f>IF(AND(Calculadora!H11&lt;&gt;"",Calculadora!H11&lt;&gt;0),Calculadora!G11,"")</f>
        <v/>
      </c>
      <c r="H24" s="92" t="str">
        <f>IF(AND(Calculadora!I11&lt;&gt;"",Calculadora!I11&lt;&gt;0),Calculadora!I11,"")</f>
        <v/>
      </c>
      <c r="I24" s="89"/>
      <c r="K24" s="74"/>
      <c r="M24" s="75"/>
    </row>
    <row r="25" spans="2:22" x14ac:dyDescent="0.25">
      <c r="B25" s="92" t="str">
        <f>IF(AND(Calculadora!I12&lt;&gt;"",Calculadora!I12&lt;&gt;0),"217","")</f>
        <v/>
      </c>
      <c r="C25" s="134" t="str">
        <f>IF(AND(Calculadora!I12&lt;&gt;"",Calculadora!I12&lt;&gt;0),"PERICULOSIDADE","")</f>
        <v/>
      </c>
      <c r="D25" s="135"/>
      <c r="E25" s="135"/>
      <c r="F25" s="136"/>
      <c r="G25" s="94" t="str">
        <f>IF(AND(Calculadora!H12&lt;&gt;"",Calculadora!H12&lt;&gt;0),Calculadora!G12,"")</f>
        <v/>
      </c>
      <c r="H25" s="91" t="str">
        <f>IF(AND(Calculadora!I12&lt;&gt;"",Calculadora!I12&lt;&gt;0),Calculadora!I12,"")</f>
        <v/>
      </c>
      <c r="I25" s="89"/>
      <c r="K25" s="74"/>
      <c r="M25" s="75"/>
    </row>
    <row r="26" spans="2:22" x14ac:dyDescent="0.25">
      <c r="B26" s="92" t="str">
        <f>IF(AND(Calculadora!I13&lt;&gt;"",Calculadora!I13&lt;&gt;0),"8792","")</f>
        <v/>
      </c>
      <c r="C26" s="134" t="str">
        <f>IF(AND(Calculadora!I13&lt;&gt;"",Calculadora!I13&lt;&gt;0),"DIAS FALTAS","")</f>
        <v/>
      </c>
      <c r="D26" s="135"/>
      <c r="E26" s="135"/>
      <c r="F26" s="136"/>
      <c r="G26" s="92" t="str">
        <f>IF(AND(Calculadora!G13&lt;&gt;"",Calculadora!G13&lt;&gt;0),Calculadora!G13,"")</f>
        <v/>
      </c>
      <c r="H26" s="92"/>
      <c r="I26" s="91" t="str">
        <f>IF(AND(Calculadora!I13&lt;&gt;"",Calculadora!I13&lt;&gt;0),Calculadora!I13,"")</f>
        <v/>
      </c>
      <c r="K26" s="74"/>
      <c r="M26" s="75"/>
    </row>
    <row r="27" spans="2:22" x14ac:dyDescent="0.25">
      <c r="B27" s="92" t="str">
        <f>IF(AND(Calculadora!I14&lt;&gt;"",Calculadora!I14&lt;&gt;0),"8069","")</f>
        <v/>
      </c>
      <c r="C27" s="134" t="str">
        <f>IF(AND(Calculadora!I14&lt;&gt;"",Calculadora!I14&lt;&gt;0),"HORAS FALTAS","")</f>
        <v/>
      </c>
      <c r="D27" s="135"/>
      <c r="E27" s="135"/>
      <c r="F27" s="136"/>
      <c r="G27" s="92" t="str">
        <f>IF(AND(Calculadora!G14&lt;&gt;"",Calculadora!G14&lt;&gt;0),Calculadora!G14,"")</f>
        <v/>
      </c>
      <c r="H27" s="92" t="str">
        <f>IF(AND(Calculadora!O17&lt;&gt;"",Calculadora!O17&lt;&gt;0),Calculadora!I14,"")</f>
        <v/>
      </c>
      <c r="I27" s="91" t="str">
        <f>IF(AND(Calculadora!I14&lt;&gt;"",Calculadora!I14&lt;&gt;0),Calculadora!I14,"")</f>
        <v/>
      </c>
      <c r="K27" s="74"/>
      <c r="M27" s="75"/>
    </row>
    <row r="28" spans="2:22" x14ac:dyDescent="0.25">
      <c r="B28" s="92" t="str">
        <f>IF(AND(Calculadora!I15&lt;&gt;"",Calculadora!I15&lt;&gt;0),"8794","")</f>
        <v/>
      </c>
      <c r="C28" s="134" t="str">
        <f>IF(AND(Calculadora!I15&lt;&gt;"",Calculadora!I15&lt;&gt;0),"DESCONTO DE DSR","")</f>
        <v/>
      </c>
      <c r="D28" s="135"/>
      <c r="E28" s="135"/>
      <c r="F28" s="136"/>
      <c r="G28" s="92" t="str">
        <f>IF(AND(Calculadora!G15&lt;&gt;"",Calculadora!G15&lt;&gt;0),Calculadora!G15,"")</f>
        <v/>
      </c>
      <c r="H28" s="92"/>
      <c r="I28" s="91" t="str">
        <f>IF(AND(Calculadora!I15&lt;&gt;"",Calculadora!I15&lt;&gt;0),Calculadora!I15,"")</f>
        <v/>
      </c>
      <c r="K28" s="74"/>
      <c r="M28" s="75"/>
    </row>
    <row r="29" spans="2:22" x14ac:dyDescent="0.25">
      <c r="B29" s="92" t="str">
        <f>IF(AND('NÃO MEXER'!C10&lt;&gt;"",'NÃO MEXER'!C10&lt;&gt;0),"998","")</f>
        <v>998</v>
      </c>
      <c r="C29" s="134" t="str">
        <f>IF(AND('NÃO MEXER'!C10&lt;&gt;"",'NÃO MEXER'!C10&lt;&gt;0),"INSS","")</f>
        <v>INSS</v>
      </c>
      <c r="D29" s="135"/>
      <c r="E29" s="135"/>
      <c r="F29" s="136"/>
      <c r="G29" s="81"/>
      <c r="H29" s="89"/>
      <c r="I29" s="89">
        <f>IF(AND('NÃO MEXER'!C10&lt;&gt;"",'NÃO MEXER'!C10&lt;&gt;0),'NÃO MEXER'!C10,"")</f>
        <v>364.91</v>
      </c>
      <c r="K29" s="74"/>
      <c r="M29" s="75"/>
    </row>
    <row r="30" spans="2:22" x14ac:dyDescent="0.25">
      <c r="B30" s="92" t="str">
        <f>IF(AND('NÃO MEXER'!C11&lt;&gt;"",'NÃO MEXER'!C11&lt;&gt;0),"999","")</f>
        <v>999</v>
      </c>
      <c r="C30" s="134" t="str">
        <f>IF(AND('NÃO MEXER'!C11&lt;&gt;"",'NÃO MEXER'!C11&lt;&gt;0),"IMPOSTO DE RENDA","")</f>
        <v>IMPOSTO DE RENDA</v>
      </c>
      <c r="D30" s="135"/>
      <c r="E30" s="135"/>
      <c r="F30" s="136"/>
      <c r="G30" s="81"/>
      <c r="H30" s="89"/>
      <c r="I30" s="89">
        <f>IF(AND('NÃO MEXER'!C11&lt;&gt;"",'NÃO MEXER'!C11&lt;&gt;0),'NÃO MEXER'!C11,"")</f>
        <v>3865.8695000000002</v>
      </c>
      <c r="K30" s="74"/>
      <c r="M30" s="75"/>
    </row>
    <row r="31" spans="2:22" x14ac:dyDescent="0.25">
      <c r="B31" s="92" t="str">
        <f>IF(AND(Calculadora!L8&lt;&gt;"Não",Calculadora!L8&lt;&gt;0),"981","")</f>
        <v/>
      </c>
      <c r="C31" s="134" t="str">
        <f>IF(AND(Calculadora!L8&lt;&gt;"Não",Calculadora!L8&lt;&gt;0),"ADIANTAMENTO SALARIAL","")</f>
        <v/>
      </c>
      <c r="D31" s="135"/>
      <c r="E31" s="135"/>
      <c r="F31" s="136"/>
      <c r="G31" s="81"/>
      <c r="H31" s="89"/>
      <c r="I31" s="89" t="str">
        <f>IF(AND(Calculadora!L8&lt;&gt;"Não",Calculadora!L8&lt;&gt;0),Cálculo!E87,"")</f>
        <v/>
      </c>
      <c r="K31" s="74"/>
      <c r="M31" s="75"/>
    </row>
    <row r="32" spans="2:22" x14ac:dyDescent="0.25">
      <c r="B32" s="107"/>
      <c r="C32" s="76"/>
      <c r="D32" s="77"/>
      <c r="E32" s="77"/>
      <c r="F32" s="78"/>
      <c r="G32" s="82"/>
      <c r="H32" s="90"/>
      <c r="I32" s="90"/>
      <c r="K32" s="74"/>
      <c r="M32" s="75"/>
    </row>
    <row r="33" spans="2:13" x14ac:dyDescent="0.25">
      <c r="B33" s="71"/>
      <c r="C33" s="72"/>
      <c r="D33" s="72"/>
      <c r="E33" s="72"/>
      <c r="F33" s="72"/>
      <c r="G33" s="72"/>
      <c r="H33" s="83" t="s">
        <v>83</v>
      </c>
      <c r="I33" s="83" t="s">
        <v>84</v>
      </c>
      <c r="K33" s="74"/>
      <c r="M33" s="75"/>
    </row>
    <row r="34" spans="2:13" x14ac:dyDescent="0.25">
      <c r="B34" s="74"/>
      <c r="H34" s="106">
        <f>SUM(H16:H32)</f>
        <v>17969.38</v>
      </c>
      <c r="I34" s="106">
        <f>SUM(I16:I32)</f>
        <v>4230.7795000000006</v>
      </c>
      <c r="K34" s="74"/>
      <c r="M34" s="75"/>
    </row>
    <row r="35" spans="2:13" ht="14.25" customHeight="1" x14ac:dyDescent="0.25">
      <c r="B35" s="74"/>
      <c r="H35" s="80"/>
      <c r="I35" s="80"/>
      <c r="K35" s="74"/>
      <c r="M35" s="75"/>
    </row>
    <row r="36" spans="2:13" ht="12.75" customHeight="1" x14ac:dyDescent="0.25">
      <c r="B36" s="74"/>
      <c r="H36" s="81"/>
      <c r="I36" s="95">
        <f>H34-I34</f>
        <v>13738.6005</v>
      </c>
      <c r="K36" s="74"/>
      <c r="M36" s="75"/>
    </row>
    <row r="37" spans="2:13" ht="12.75" customHeight="1" x14ac:dyDescent="0.25">
      <c r="B37" s="76"/>
      <c r="C37" s="77"/>
      <c r="D37" s="77"/>
      <c r="E37" s="77"/>
      <c r="F37" s="77"/>
      <c r="G37" s="77"/>
      <c r="H37" s="76"/>
      <c r="I37" s="82"/>
      <c r="K37" s="74"/>
      <c r="M37" s="75"/>
    </row>
    <row r="38" spans="2:13" x14ac:dyDescent="0.25">
      <c r="B38" s="71"/>
      <c r="C38" s="72"/>
      <c r="D38" s="72"/>
      <c r="E38" s="72"/>
      <c r="F38" s="72"/>
      <c r="G38" s="72"/>
      <c r="H38" s="72"/>
      <c r="I38" s="75"/>
      <c r="K38" s="74"/>
      <c r="M38" s="75"/>
    </row>
    <row r="39" spans="2:13" x14ac:dyDescent="0.25">
      <c r="B39" s="76"/>
      <c r="C39" s="77"/>
      <c r="D39" s="77"/>
      <c r="E39" s="77"/>
      <c r="F39" s="77"/>
      <c r="G39" s="77"/>
      <c r="H39" s="77"/>
      <c r="I39" s="78"/>
      <c r="K39" s="76"/>
      <c r="L39" s="77"/>
      <c r="M39" s="78"/>
    </row>
  </sheetData>
  <mergeCells count="19">
    <mergeCell ref="C16:F16"/>
    <mergeCell ref="C15:F15"/>
    <mergeCell ref="B2:E4"/>
    <mergeCell ref="G2:I3"/>
    <mergeCell ref="C17:F17"/>
    <mergeCell ref="C23:F23"/>
    <mergeCell ref="C25:F25"/>
    <mergeCell ref="C18:F18"/>
    <mergeCell ref="C19:F19"/>
    <mergeCell ref="C20:F20"/>
    <mergeCell ref="C21:F21"/>
    <mergeCell ref="C22:F22"/>
    <mergeCell ref="C24:F24"/>
    <mergeCell ref="C31:F31"/>
    <mergeCell ref="C30:F30"/>
    <mergeCell ref="C26:F26"/>
    <mergeCell ref="C27:F27"/>
    <mergeCell ref="C28:F28"/>
    <mergeCell ref="C29:F29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45A9-16CB-48A8-8B03-E4F966C363D0}">
  <dimension ref="A1:T15"/>
  <sheetViews>
    <sheetView topLeftCell="A3" workbookViewId="0">
      <selection activeCell="E4" sqref="E4"/>
    </sheetView>
  </sheetViews>
  <sheetFormatPr defaultRowHeight="15" x14ac:dyDescent="0.25"/>
  <cols>
    <col min="1" max="1" width="24.140625" bestFit="1" customWidth="1"/>
    <col min="2" max="2" width="39.28515625" bestFit="1" customWidth="1"/>
    <col min="3" max="3" width="7" bestFit="1" customWidth="1"/>
    <col min="4" max="4" width="9" bestFit="1" customWidth="1"/>
    <col min="5" max="5" width="17.5703125" bestFit="1" customWidth="1"/>
    <col min="6" max="6" width="14.42578125" bestFit="1" customWidth="1"/>
    <col min="8" max="8" width="7.85546875" bestFit="1" customWidth="1"/>
    <col min="9" max="9" width="9.5703125" bestFit="1" customWidth="1"/>
    <col min="10" max="10" width="7.42578125" bestFit="1" customWidth="1"/>
  </cols>
  <sheetData>
    <row r="1" spans="1:20" ht="15.75" thickBot="1" x14ac:dyDescent="0.3">
      <c r="G1" s="20"/>
      <c r="H1" s="155" t="s">
        <v>20</v>
      </c>
      <c r="I1" s="155"/>
      <c r="J1" s="155"/>
      <c r="K1" s="155"/>
      <c r="L1" s="20"/>
    </row>
    <row r="2" spans="1:20" ht="32.25" thickBot="1" x14ac:dyDescent="0.3">
      <c r="A2" s="21" t="s">
        <v>21</v>
      </c>
      <c r="B2" s="22"/>
      <c r="C2" s="22"/>
      <c r="D2" s="23"/>
      <c r="E2" s="24" t="s">
        <v>22</v>
      </c>
      <c r="F2" s="25"/>
      <c r="G2" s="26"/>
      <c r="H2" s="27" t="s">
        <v>23</v>
      </c>
      <c r="I2" s="28"/>
      <c r="J2" s="28" t="s">
        <v>24</v>
      </c>
      <c r="K2" s="28" t="s">
        <v>25</v>
      </c>
      <c r="L2" s="26"/>
    </row>
    <row r="3" spans="1:20" ht="98.25" customHeight="1" thickBot="1" x14ac:dyDescent="0.3">
      <c r="A3" s="29" t="s">
        <v>26</v>
      </c>
      <c r="B3" s="24"/>
      <c r="C3" s="24"/>
      <c r="D3" s="30"/>
      <c r="E3" s="24"/>
      <c r="F3" s="25"/>
      <c r="G3" s="31"/>
      <c r="H3" s="32">
        <v>0</v>
      </c>
      <c r="I3" s="33">
        <v>2428.8000000000002</v>
      </c>
      <c r="J3" s="34">
        <v>0</v>
      </c>
      <c r="K3" s="35">
        <v>0</v>
      </c>
      <c r="L3" s="31"/>
    </row>
    <row r="4" spans="1:20" ht="15.75" thickBot="1" x14ac:dyDescent="0.3">
      <c r="A4" s="36" t="s">
        <v>27</v>
      </c>
      <c r="B4" s="37" t="s">
        <v>28</v>
      </c>
      <c r="C4" s="37"/>
      <c r="D4" s="38"/>
      <c r="E4" s="39">
        <f>Calculadora!I16-Calculadora!I8</f>
        <v>3969.380000000001</v>
      </c>
      <c r="F4" s="40" t="s">
        <v>29</v>
      </c>
      <c r="G4" s="41"/>
      <c r="H4" s="32">
        <v>2428.81</v>
      </c>
      <c r="I4" s="33">
        <v>2826.65</v>
      </c>
      <c r="J4" s="42">
        <v>7.4999999999999997E-2</v>
      </c>
      <c r="K4" s="43">
        <v>182.16</v>
      </c>
      <c r="L4" s="41"/>
    </row>
    <row r="5" spans="1:20" ht="15.75" thickBot="1" x14ac:dyDescent="0.3">
      <c r="A5" s="44">
        <v>0</v>
      </c>
      <c r="B5" s="45">
        <v>1621</v>
      </c>
      <c r="C5" s="46">
        <v>7.4999999999999997E-2</v>
      </c>
      <c r="D5" s="44">
        <f>B5-A5</f>
        <v>1621</v>
      </c>
      <c r="E5" s="47">
        <f>IF(E4&gt;=B5,B5,E4)</f>
        <v>1621</v>
      </c>
      <c r="F5" s="48">
        <f>TRUNC(E5*C5,2)</f>
        <v>121.57</v>
      </c>
      <c r="G5" s="41"/>
      <c r="H5" s="32">
        <v>2826.66</v>
      </c>
      <c r="I5" s="33">
        <v>3751.05</v>
      </c>
      <c r="J5" s="49">
        <v>0.15</v>
      </c>
      <c r="K5" s="43">
        <v>394.16</v>
      </c>
      <c r="L5" s="41"/>
    </row>
    <row r="6" spans="1:20" ht="15.75" thickBot="1" x14ac:dyDescent="0.3">
      <c r="A6" s="45">
        <v>1621.01</v>
      </c>
      <c r="B6" s="45">
        <v>2902.84</v>
      </c>
      <c r="C6" s="46">
        <v>0.09</v>
      </c>
      <c r="D6" s="44">
        <f t="shared" ref="D6:D8" si="0">B6-A6</f>
        <v>1281.8300000000002</v>
      </c>
      <c r="E6" s="47">
        <f>IF(AND(E4&gt;E5,E4&lt;B6),E4-E5,IF(E4&gt;B6,B6-A6,0))</f>
        <v>1281.8300000000002</v>
      </c>
      <c r="F6" s="48">
        <f>TRUNC(E6*C6,2)</f>
        <v>115.36</v>
      </c>
      <c r="G6" s="41"/>
      <c r="H6" s="32">
        <v>3751.06</v>
      </c>
      <c r="I6" s="33">
        <v>4664.68</v>
      </c>
      <c r="J6" s="42">
        <v>0.22500000000000001</v>
      </c>
      <c r="K6" s="43">
        <v>675.49</v>
      </c>
      <c r="L6" s="41"/>
    </row>
    <row r="7" spans="1:20" ht="15.75" thickBot="1" x14ac:dyDescent="0.3">
      <c r="A7" s="45">
        <v>2902.85</v>
      </c>
      <c r="B7" s="45">
        <v>4354.2700000000004</v>
      </c>
      <c r="C7" s="46">
        <v>0.12</v>
      </c>
      <c r="D7" s="44">
        <f t="shared" si="0"/>
        <v>1451.4200000000005</v>
      </c>
      <c r="E7" s="47">
        <f>IF(E4&gt;B7,B7-A7,IF(E4&lt;A7,0,E4-A7))</f>
        <v>1066.5300000000011</v>
      </c>
      <c r="F7" s="48">
        <f>TRUNC(E7*C7,2)</f>
        <v>127.98</v>
      </c>
      <c r="G7" s="41"/>
      <c r="H7" s="32">
        <v>4664.6899999999996</v>
      </c>
      <c r="I7" s="33">
        <v>999999</v>
      </c>
      <c r="J7" s="42">
        <v>0.27500000000000002</v>
      </c>
      <c r="K7" s="43">
        <v>908.73</v>
      </c>
      <c r="L7" s="41"/>
    </row>
    <row r="8" spans="1:20" ht="15.75" thickBot="1" x14ac:dyDescent="0.3">
      <c r="A8" s="45">
        <v>4354.28</v>
      </c>
      <c r="B8" s="45">
        <v>8475.5499999999993</v>
      </c>
      <c r="C8" s="46">
        <v>0.14000000000000001</v>
      </c>
      <c r="D8" s="44">
        <f t="shared" si="0"/>
        <v>4121.2699999999995</v>
      </c>
      <c r="E8" s="47">
        <f>IF(E4&gt;B8,B8-A8,IF(E4&lt;A8,0,E4-A8))</f>
        <v>0</v>
      </c>
      <c r="F8" s="48">
        <f>TRUNC(E8*C8,2)</f>
        <v>0</v>
      </c>
    </row>
    <row r="9" spans="1:20" ht="31.5" customHeight="1" thickBot="1" x14ac:dyDescent="0.3">
      <c r="B9" s="50">
        <f>B7-A7</f>
        <v>1451.4200000000005</v>
      </c>
      <c r="E9" s="50">
        <f>SUM(E5:E8)</f>
        <v>3969.360000000001</v>
      </c>
      <c r="F9" s="51"/>
      <c r="H9" s="156" t="s">
        <v>30</v>
      </c>
      <c r="I9" s="157"/>
      <c r="J9" s="158"/>
      <c r="K9" s="52">
        <v>189.59</v>
      </c>
    </row>
    <row r="10" spans="1:20" x14ac:dyDescent="0.25">
      <c r="E10" s="50"/>
      <c r="F10" s="51"/>
    </row>
    <row r="11" spans="1:20" x14ac:dyDescent="0.25">
      <c r="E11" s="50"/>
      <c r="F11" s="51"/>
    </row>
    <row r="12" spans="1:20" x14ac:dyDescent="0.25">
      <c r="F12" s="20"/>
    </row>
    <row r="13" spans="1:20" x14ac:dyDescent="0.25">
      <c r="E13" t="s">
        <v>31</v>
      </c>
      <c r="F13" s="51" t="str">
        <f>IF(E4&gt;B8,D8,"0,00")</f>
        <v>0,00</v>
      </c>
      <c r="T13" t="s">
        <v>33</v>
      </c>
    </row>
    <row r="14" spans="1:20" x14ac:dyDescent="0.25">
      <c r="E14" t="s">
        <v>32</v>
      </c>
      <c r="F14" s="51">
        <f>IF(AND(E4&gt;B7,E4&lt;B8),E4-B7,0)</f>
        <v>0</v>
      </c>
    </row>
    <row r="15" spans="1:20" x14ac:dyDescent="0.25">
      <c r="F15" s="20"/>
    </row>
  </sheetData>
  <mergeCells count="2">
    <mergeCell ref="H1:K1"/>
    <mergeCell ref="H9:J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82EFF-0CFF-44BB-BE33-3E59FE486AFF}">
  <dimension ref="A2:J124"/>
  <sheetViews>
    <sheetView topLeftCell="A62" workbookViewId="0">
      <selection activeCell="B77" sqref="B77"/>
    </sheetView>
  </sheetViews>
  <sheetFormatPr defaultRowHeight="15" x14ac:dyDescent="0.25"/>
  <cols>
    <col min="1" max="1" width="18.85546875" bestFit="1" customWidth="1"/>
    <col min="2" max="2" width="31" bestFit="1" customWidth="1"/>
    <col min="3" max="3" width="18.42578125" bestFit="1" customWidth="1"/>
    <col min="4" max="4" width="14.28515625" bestFit="1" customWidth="1"/>
    <col min="5" max="6" width="17" bestFit="1" customWidth="1"/>
    <col min="7" max="7" width="12.7109375" bestFit="1" customWidth="1"/>
    <col min="8" max="8" width="27.85546875" bestFit="1" customWidth="1"/>
    <col min="9" max="9" width="22.28515625" bestFit="1" customWidth="1"/>
    <col min="10" max="10" width="13.5703125" customWidth="1"/>
  </cols>
  <sheetData>
    <row r="2" spans="2:9" x14ac:dyDescent="0.25">
      <c r="B2" s="53" t="s">
        <v>34</v>
      </c>
      <c r="I2" s="54"/>
    </row>
    <row r="3" spans="2:9" x14ac:dyDescent="0.25">
      <c r="B3" s="53" t="s">
        <v>35</v>
      </c>
      <c r="C3" s="53">
        <f>'NÃO MEXER'!C9</f>
        <v>0</v>
      </c>
      <c r="H3" t="s">
        <v>36</v>
      </c>
      <c r="I3" s="54"/>
    </row>
    <row r="4" spans="2:9" x14ac:dyDescent="0.25">
      <c r="B4" s="53" t="s">
        <v>37</v>
      </c>
      <c r="C4" s="53">
        <v>189.59</v>
      </c>
      <c r="H4" s="53" t="s">
        <v>38</v>
      </c>
      <c r="I4" s="55">
        <v>607.20000000000005</v>
      </c>
    </row>
    <row r="5" spans="2:9" x14ac:dyDescent="0.25">
      <c r="B5" s="53" t="s">
        <v>39</v>
      </c>
      <c r="C5" s="53">
        <f>B22-(C4*C3)</f>
        <v>17604.47</v>
      </c>
      <c r="H5" s="53" t="s">
        <v>40</v>
      </c>
      <c r="I5" s="55">
        <f>D62-Cálculo!I4</f>
        <v>17362.18</v>
      </c>
    </row>
    <row r="6" spans="2:9" x14ac:dyDescent="0.25">
      <c r="B6" s="56" t="s">
        <v>41</v>
      </c>
      <c r="C6" s="56" t="s">
        <v>61</v>
      </c>
      <c r="D6" s="56" t="s">
        <v>42</v>
      </c>
      <c r="E6" s="56" t="s">
        <v>43</v>
      </c>
      <c r="F6" s="56" t="s">
        <v>44</v>
      </c>
      <c r="G6" s="56" t="s">
        <v>45</v>
      </c>
      <c r="I6" s="54"/>
    </row>
    <row r="7" spans="2:9" x14ac:dyDescent="0.25">
      <c r="B7" s="57">
        <v>0</v>
      </c>
      <c r="C7" s="57">
        <v>2428.8000000000002</v>
      </c>
      <c r="D7" s="58">
        <v>0</v>
      </c>
      <c r="E7" s="59">
        <v>0</v>
      </c>
      <c r="F7" s="59">
        <v>0</v>
      </c>
      <c r="G7" s="59">
        <v>0</v>
      </c>
      <c r="I7" s="54"/>
    </row>
    <row r="8" spans="2:9" x14ac:dyDescent="0.25">
      <c r="B8" s="57">
        <v>2428.81</v>
      </c>
      <c r="C8" s="57">
        <v>2826.65</v>
      </c>
      <c r="D8" s="58">
        <v>7.4999999999999997E-2</v>
      </c>
      <c r="E8" s="59">
        <v>182.16</v>
      </c>
      <c r="F8" s="59">
        <f>IF(AND($C$5&gt;B8,$C$5&lt;C8),($C$5*D8)-E8,0)</f>
        <v>0</v>
      </c>
      <c r="G8" s="59">
        <f>IF(AND($I$5&gt;B8,$I$5&lt;C8),($I$5*D8)-E8,0)</f>
        <v>0</v>
      </c>
      <c r="I8" s="54"/>
    </row>
    <row r="9" spans="2:9" x14ac:dyDescent="0.25">
      <c r="B9" s="57">
        <v>2826.66</v>
      </c>
      <c r="C9" s="57">
        <v>3751.05</v>
      </c>
      <c r="D9" s="58">
        <v>0.15</v>
      </c>
      <c r="E9" s="59">
        <v>394.16</v>
      </c>
      <c r="F9" s="59">
        <f>IF(AND($C$5&gt;B9,$C$5&lt;C9),($C$5*D9)-E9,0)</f>
        <v>0</v>
      </c>
      <c r="G9" s="59">
        <f>IF(AND($I$5&gt;B9,$I$5&lt;C9),($I$5*D9)-E9,0)</f>
        <v>0</v>
      </c>
      <c r="I9" s="54"/>
    </row>
    <row r="10" spans="2:9" x14ac:dyDescent="0.25">
      <c r="B10" s="57">
        <v>3751.06</v>
      </c>
      <c r="C10" s="57">
        <v>4664.68</v>
      </c>
      <c r="D10" s="58">
        <v>0.22500000000000001</v>
      </c>
      <c r="E10" s="59">
        <v>675.49</v>
      </c>
      <c r="F10" s="59">
        <f>IF(AND($C$5&gt;B10,$C$5&lt;C10),($C$5*D10)-E10,0)</f>
        <v>0</v>
      </c>
      <c r="G10" s="59">
        <f>IF(AND($I$5&gt;B10,$I$5&lt;C10),($I$5*D10)-E10,0)</f>
        <v>0</v>
      </c>
      <c r="I10" s="54"/>
    </row>
    <row r="11" spans="2:9" x14ac:dyDescent="0.25">
      <c r="B11" s="57">
        <v>4664.6899999999996</v>
      </c>
      <c r="C11" s="57">
        <v>99999.99</v>
      </c>
      <c r="D11" s="58">
        <v>0.27500000000000002</v>
      </c>
      <c r="E11" s="59">
        <v>908.73</v>
      </c>
      <c r="F11" s="59">
        <f>IF(AND($C$5&gt;B11,$C$5&lt;C11),($C$5*D11)-E11,0)</f>
        <v>3932.4992500000003</v>
      </c>
      <c r="G11" s="59">
        <f>IF(AND($I$5&gt;B11,$I$5&lt;C11),($I$5*D11)-E11,0)</f>
        <v>3865.8695000000002</v>
      </c>
      <c r="I11" s="54"/>
    </row>
    <row r="12" spans="2:9" x14ac:dyDescent="0.25">
      <c r="B12" s="56" t="s">
        <v>46</v>
      </c>
      <c r="C12" s="60">
        <f>SUM(F7:F11)</f>
        <v>3932.4992500000003</v>
      </c>
      <c r="I12" s="54"/>
    </row>
    <row r="13" spans="2:9" x14ac:dyDescent="0.25">
      <c r="B13" s="56" t="s">
        <v>47</v>
      </c>
      <c r="C13" s="60">
        <f>SUM(G7:G11)</f>
        <v>3865.8695000000002</v>
      </c>
      <c r="I13" s="54"/>
    </row>
    <row r="14" spans="2:9" x14ac:dyDescent="0.25">
      <c r="I14" s="54"/>
    </row>
    <row r="15" spans="2:9" x14ac:dyDescent="0.25">
      <c r="B15" t="s">
        <v>48</v>
      </c>
      <c r="C15" t="str">
        <f>IF(C13&gt;C12,"LEGAL","SIMPLIFICADO")</f>
        <v>SIMPLIFICADO</v>
      </c>
      <c r="D15" s="54">
        <f>IF(C15="LEGAL",C12,C13)</f>
        <v>3865.8695000000002</v>
      </c>
      <c r="I15" s="54"/>
    </row>
    <row r="19" spans="1:6" x14ac:dyDescent="0.25">
      <c r="A19" t="s">
        <v>49</v>
      </c>
      <c r="B19" s="61">
        <f>'NÃO MEXER'!C10</f>
        <v>364.91</v>
      </c>
    </row>
    <row r="20" spans="1:6" x14ac:dyDescent="0.25">
      <c r="A20" t="s">
        <v>50</v>
      </c>
      <c r="B20" s="61">
        <f>'[1]Salário Líquido 2025'!C24*[1]Tabelas!K24</f>
        <v>0</v>
      </c>
    </row>
    <row r="21" spans="1:6" x14ac:dyDescent="0.25">
      <c r="B21" s="62" t="s">
        <v>51</v>
      </c>
      <c r="C21" s="62" t="s">
        <v>42</v>
      </c>
      <c r="D21" s="62" t="s">
        <v>52</v>
      </c>
      <c r="E21" s="62" t="s">
        <v>53</v>
      </c>
      <c r="F21" s="62" t="s">
        <v>54</v>
      </c>
    </row>
    <row r="22" spans="1:6" x14ac:dyDescent="0.25">
      <c r="A22" t="s">
        <v>55</v>
      </c>
      <c r="B22" s="61">
        <f>D62-Cálculo!B19</f>
        <v>17604.47</v>
      </c>
      <c r="C22" s="63">
        <f>VLOOKUP(B22,Tabelas!H3:J7,3)</f>
        <v>0.27500000000000002</v>
      </c>
      <c r="D22" s="61">
        <f>B22*C22</f>
        <v>4841.2292500000003</v>
      </c>
      <c r="E22">
        <f>IF(VLOOKUP(C22,Tabelas!J4:K7,2)&gt;0,VLOOKUP(C22,Tabelas!J4:K7,2),0)</f>
        <v>908.73</v>
      </c>
      <c r="F22" s="61">
        <f>D22-E22</f>
        <v>3932.4992500000003</v>
      </c>
    </row>
    <row r="24" spans="1:6" s="65" customFormat="1" x14ac:dyDescent="0.25"/>
    <row r="26" spans="1:6" x14ac:dyDescent="0.25">
      <c r="A26" t="s">
        <v>19</v>
      </c>
      <c r="B26" s="56" t="s">
        <v>57</v>
      </c>
      <c r="C26" s="56" t="s">
        <v>58</v>
      </c>
      <c r="D26" s="56"/>
    </row>
    <row r="27" spans="1:6" x14ac:dyDescent="0.25">
      <c r="B27" s="57">
        <f>Calculadora!G11</f>
        <v>0.2</v>
      </c>
      <c r="C27" s="57">
        <v>1621</v>
      </c>
      <c r="D27" s="59">
        <f>C27*B27</f>
        <v>324.20000000000005</v>
      </c>
    </row>
    <row r="29" spans="1:6" s="65" customFormat="1" x14ac:dyDescent="0.25"/>
    <row r="31" spans="1:6" x14ac:dyDescent="0.25">
      <c r="A31" t="s">
        <v>59</v>
      </c>
      <c r="B31" s="56" t="s">
        <v>57</v>
      </c>
      <c r="C31" s="56" t="s">
        <v>60</v>
      </c>
      <c r="D31" s="56"/>
    </row>
    <row r="32" spans="1:6" x14ac:dyDescent="0.25">
      <c r="B32" s="57">
        <f>Calculadora!G12</f>
        <v>0.3</v>
      </c>
      <c r="C32" s="57">
        <f>SUM(Calculadora!I3:I4)</f>
        <v>3969.38</v>
      </c>
      <c r="D32" s="59">
        <f>C32*B32</f>
        <v>1190.8140000000001</v>
      </c>
    </row>
    <row r="34" spans="1:6" s="65" customFormat="1" x14ac:dyDescent="0.25"/>
    <row r="36" spans="1:6" x14ac:dyDescent="0.25">
      <c r="A36" t="s">
        <v>64</v>
      </c>
      <c r="B36" s="56" t="s">
        <v>62</v>
      </c>
      <c r="C36" s="56" t="s">
        <v>60</v>
      </c>
      <c r="D36" s="56"/>
    </row>
    <row r="37" spans="1:6" x14ac:dyDescent="0.25">
      <c r="B37" s="57">
        <f>Calculadora!H13</f>
        <v>0</v>
      </c>
      <c r="C37" s="57">
        <f>SUM(Calculadora!I3:I4)</f>
        <v>3969.38</v>
      </c>
      <c r="D37" s="59">
        <f>(C37/30)*B37</f>
        <v>0</v>
      </c>
    </row>
    <row r="39" spans="1:6" s="65" customFormat="1" x14ac:dyDescent="0.25"/>
    <row r="41" spans="1:6" x14ac:dyDescent="0.25">
      <c r="A41" t="s">
        <v>65</v>
      </c>
      <c r="B41" s="56" t="s">
        <v>65</v>
      </c>
      <c r="C41" s="56" t="s">
        <v>60</v>
      </c>
      <c r="D41" s="56"/>
    </row>
    <row r="42" spans="1:6" x14ac:dyDescent="0.25">
      <c r="B42" s="57">
        <f>Calculadora!H14</f>
        <v>0</v>
      </c>
      <c r="C42" s="57">
        <f>SUM(Calculadora!I3:I4)</f>
        <v>3969.38</v>
      </c>
      <c r="D42" s="59">
        <f>(C42/220) * ROUND( (TRUNC(B42) + (B42-TRUNC(B42)) * 100/60), 2)</f>
        <v>0</v>
      </c>
    </row>
    <row r="44" spans="1:6" s="65" customFormat="1" x14ac:dyDescent="0.25"/>
    <row r="46" spans="1:6" x14ac:dyDescent="0.25">
      <c r="A46" t="s">
        <v>66</v>
      </c>
      <c r="B46" s="56" t="s">
        <v>68</v>
      </c>
      <c r="C46" s="56" t="s">
        <v>60</v>
      </c>
      <c r="D46" s="56" t="s">
        <v>67</v>
      </c>
      <c r="E46" s="56" t="s">
        <v>66</v>
      </c>
      <c r="F46" s="56"/>
    </row>
    <row r="47" spans="1:6" x14ac:dyDescent="0.25">
      <c r="B47" s="57" t="e">
        <f>Calculadora!#REF!</f>
        <v>#REF!</v>
      </c>
      <c r="C47" s="57">
        <f>SUM(Calculadora!I3:I4)</f>
        <v>3969.38</v>
      </c>
      <c r="D47" s="70">
        <v>220</v>
      </c>
      <c r="E47" s="59" t="e">
        <f>(C47/D47)*B47</f>
        <v>#REF!</v>
      </c>
      <c r="F47" s="59" t="e">
        <f>(TRUNC(Calculadora!#REF!)+(MOD(Calculadora!#REF!,1)*100/60))*Cálculo!E47</f>
        <v>#REF!</v>
      </c>
    </row>
    <row r="49" spans="1:10" s="65" customFormat="1" x14ac:dyDescent="0.25"/>
    <row r="51" spans="1:10" x14ac:dyDescent="0.25">
      <c r="A51" t="s">
        <v>69</v>
      </c>
      <c r="B51" s="56" t="s">
        <v>68</v>
      </c>
      <c r="C51" s="56" t="s">
        <v>60</v>
      </c>
      <c r="D51" s="56" t="s">
        <v>67</v>
      </c>
      <c r="E51" s="56" t="s">
        <v>70</v>
      </c>
      <c r="F51" s="56" t="s">
        <v>66</v>
      </c>
      <c r="G51" s="56" t="s">
        <v>71</v>
      </c>
      <c r="H51" s="56" t="s">
        <v>72</v>
      </c>
      <c r="I51" s="56" t="s">
        <v>73</v>
      </c>
      <c r="J51" s="56" t="s">
        <v>74</v>
      </c>
    </row>
    <row r="52" spans="1:10" x14ac:dyDescent="0.25">
      <c r="B52" s="57" t="e">
        <f>Calculadora!#REF!</f>
        <v>#REF!</v>
      </c>
      <c r="C52" s="57">
        <f>SUM(Calculadora!I3:I4)</f>
        <v>3969.38</v>
      </c>
      <c r="D52" s="70">
        <v>220</v>
      </c>
      <c r="E52" s="59">
        <f>C52/D52</f>
        <v>18.042636363636365</v>
      </c>
      <c r="F52" s="59" t="e">
        <f>E52*B47</f>
        <v>#REF!</v>
      </c>
      <c r="G52" s="59" t="e">
        <f>SUM(E52,F52)</f>
        <v>#REF!</v>
      </c>
      <c r="H52" s="59" t="e">
        <f>G52*B52</f>
        <v>#REF!</v>
      </c>
      <c r="I52" s="59" t="e">
        <f>G52+H52</f>
        <v>#REF!</v>
      </c>
      <c r="J52" s="59" t="e">
        <f>I52*(TRUNC(Calculadora!#REF!)+(MOD(Calculadora!#REF!,1)*100/60))</f>
        <v>#REF!</v>
      </c>
    </row>
    <row r="54" spans="1:10" s="65" customFormat="1" x14ac:dyDescent="0.25"/>
    <row r="56" spans="1:10" x14ac:dyDescent="0.25">
      <c r="A56" t="s">
        <v>95</v>
      </c>
      <c r="B56" s="56" t="s">
        <v>62</v>
      </c>
      <c r="C56" s="56" t="s">
        <v>60</v>
      </c>
      <c r="D56" s="56" t="s">
        <v>77</v>
      </c>
    </row>
    <row r="57" spans="1:10" x14ac:dyDescent="0.25">
      <c r="B57" s="57">
        <f>Calculadora!H15</f>
        <v>0</v>
      </c>
      <c r="C57" s="57">
        <f>SUM(Calculadora!I3:I4)</f>
        <v>3969.38</v>
      </c>
      <c r="D57" s="59">
        <f>(C57/30)*B57</f>
        <v>0</v>
      </c>
    </row>
    <row r="59" spans="1:10" s="65" customFormat="1" x14ac:dyDescent="0.25"/>
    <row r="61" spans="1:10" x14ac:dyDescent="0.25">
      <c r="A61" t="s">
        <v>96</v>
      </c>
      <c r="B61" s="56" t="s">
        <v>97</v>
      </c>
      <c r="C61" s="56" t="s">
        <v>98</v>
      </c>
      <c r="D61" s="56" t="s">
        <v>13</v>
      </c>
    </row>
    <row r="62" spans="1:10" x14ac:dyDescent="0.25">
      <c r="B62" s="57">
        <f>SUM(Calculadora!I3,Calculadora!I4,Calculadora!I5,Calculadora!I6,Calculadora!I7:I12)</f>
        <v>17969.38</v>
      </c>
      <c r="C62" s="57">
        <f>SUM(Calculadora!I13,Calculadora!I14)</f>
        <v>0</v>
      </c>
      <c r="D62" s="59">
        <f>B62-C62</f>
        <v>17969.38</v>
      </c>
    </row>
    <row r="64" spans="1:10" s="65" customFormat="1" x14ac:dyDescent="0.25"/>
    <row r="66" spans="1:3" x14ac:dyDescent="0.25">
      <c r="A66" t="s">
        <v>99</v>
      </c>
      <c r="B66" s="56" t="s">
        <v>101</v>
      </c>
    </row>
    <row r="67" spans="1:3" x14ac:dyDescent="0.25">
      <c r="B67" s="57">
        <f>IF((B22 + B19 + (C3 * C4)) &lt;= 5000, 0, D15)</f>
        <v>3865.8695000000002</v>
      </c>
    </row>
    <row r="69" spans="1:3" s="65" customFormat="1" x14ac:dyDescent="0.25"/>
    <row r="71" spans="1:3" x14ac:dyDescent="0.25">
      <c r="A71" t="s">
        <v>102</v>
      </c>
      <c r="B71" s="56" t="s">
        <v>100</v>
      </c>
      <c r="C71" s="56" t="s">
        <v>103</v>
      </c>
    </row>
    <row r="72" spans="1:3" x14ac:dyDescent="0.25">
      <c r="B72" s="57">
        <f>SUM(Calculadora!I3:I12)</f>
        <v>17969.38</v>
      </c>
      <c r="C72" s="57">
        <f>IF(AND(B72&gt;5000, B72&lt;=7350),978.62-(0.133145*B72),0)</f>
        <v>0</v>
      </c>
    </row>
    <row r="74" spans="1:3" s="65" customFormat="1" x14ac:dyDescent="0.25"/>
    <row r="76" spans="1:3" x14ac:dyDescent="0.25">
      <c r="A76" t="s">
        <v>104</v>
      </c>
      <c r="B76" s="56" t="s">
        <v>103</v>
      </c>
    </row>
    <row r="77" spans="1:3" x14ac:dyDescent="0.25">
      <c r="B77" s="57">
        <f>D15-C72</f>
        <v>3865.8695000000002</v>
      </c>
    </row>
    <row r="79" spans="1:3" s="65" customFormat="1" x14ac:dyDescent="0.25"/>
    <row r="81" spans="1:6" x14ac:dyDescent="0.25">
      <c r="A81" t="s">
        <v>105</v>
      </c>
      <c r="B81" s="56"/>
    </row>
    <row r="82" spans="1:6" x14ac:dyDescent="0.25">
      <c r="B82" s="57">
        <f>IF(B72 &gt; 5000, B77, 0)</f>
        <v>3865.8695000000002</v>
      </c>
    </row>
    <row r="84" spans="1:6" s="65" customFormat="1" x14ac:dyDescent="0.25"/>
    <row r="86" spans="1:6" x14ac:dyDescent="0.25">
      <c r="A86" t="s">
        <v>107</v>
      </c>
      <c r="B86" s="56" t="s">
        <v>108</v>
      </c>
      <c r="C86" s="56" t="s">
        <v>57</v>
      </c>
      <c r="D86" s="56"/>
      <c r="E86" s="56" t="s">
        <v>109</v>
      </c>
      <c r="F86" s="56"/>
    </row>
    <row r="87" spans="1:6" x14ac:dyDescent="0.25">
      <c r="B87" s="57">
        <f>Calculadora!I3</f>
        <v>3969.38</v>
      </c>
      <c r="C87" s="57">
        <v>0.4</v>
      </c>
      <c r="D87" s="59"/>
      <c r="E87" s="59">
        <f>B87*C87</f>
        <v>1587.7520000000002</v>
      </c>
      <c r="F87" s="59"/>
    </row>
    <row r="89" spans="1:6" s="65" customFormat="1" x14ac:dyDescent="0.25"/>
    <row r="91" spans="1:6" x14ac:dyDescent="0.25">
      <c r="A91" t="s">
        <v>112</v>
      </c>
      <c r="B91" s="56" t="s">
        <v>113</v>
      </c>
      <c r="C91" s="56" t="s">
        <v>114</v>
      </c>
      <c r="D91" s="56" t="s">
        <v>115</v>
      </c>
      <c r="E91" s="56" t="s">
        <v>116</v>
      </c>
      <c r="F91" s="56"/>
    </row>
    <row r="92" spans="1:6" x14ac:dyDescent="0.25">
      <c r="B92" s="57">
        <f>Calculadora!L10</f>
        <v>30</v>
      </c>
      <c r="C92" s="57">
        <v>220</v>
      </c>
      <c r="D92" s="59">
        <f>C92/30</f>
        <v>7.333333333333333</v>
      </c>
      <c r="E92" s="59">
        <f>B92*D92</f>
        <v>220</v>
      </c>
      <c r="F92" s="59">
        <f>IF(OR(B97="", B97=0, B97="-"), E92/24, B97/24)</f>
        <v>9.1666666666666661</v>
      </c>
    </row>
    <row r="94" spans="1:6" s="65" customFormat="1" x14ac:dyDescent="0.25"/>
    <row r="96" spans="1:6" x14ac:dyDescent="0.25">
      <c r="A96" t="s">
        <v>117</v>
      </c>
      <c r="B96" s="56" t="s">
        <v>118</v>
      </c>
      <c r="C96" s="56"/>
      <c r="D96" s="56"/>
      <c r="E96" s="56"/>
      <c r="F96" s="56"/>
    </row>
    <row r="97" spans="2:6" x14ac:dyDescent="0.25">
      <c r="B97" s="57">
        <f>Calculadora!L11</f>
        <v>0</v>
      </c>
      <c r="C97" s="57"/>
      <c r="D97" s="59"/>
      <c r="E97" s="59"/>
      <c r="F97" s="59"/>
    </row>
    <row r="99" spans="2:6" s="65" customFormat="1" x14ac:dyDescent="0.25"/>
    <row r="101" spans="2:6" x14ac:dyDescent="0.25">
      <c r="B101" s="56"/>
      <c r="C101" s="56"/>
      <c r="D101" s="56"/>
      <c r="E101" s="56"/>
      <c r="F101" s="56"/>
    </row>
    <row r="102" spans="2:6" x14ac:dyDescent="0.25">
      <c r="B102" s="57"/>
      <c r="C102" s="57"/>
      <c r="D102" s="59"/>
      <c r="E102" s="59"/>
      <c r="F102" s="59"/>
    </row>
    <row r="104" spans="2:6" s="65" customFormat="1" x14ac:dyDescent="0.25"/>
    <row r="106" spans="2:6" x14ac:dyDescent="0.25">
      <c r="B106" s="56"/>
      <c r="C106" s="56"/>
      <c r="D106" s="56"/>
      <c r="E106" s="56"/>
      <c r="F106" s="56"/>
    </row>
    <row r="107" spans="2:6" x14ac:dyDescent="0.25">
      <c r="B107" s="57"/>
      <c r="C107" s="57"/>
      <c r="D107" s="59"/>
      <c r="E107" s="59"/>
      <c r="F107" s="59"/>
    </row>
    <row r="109" spans="2:6" s="65" customFormat="1" x14ac:dyDescent="0.25"/>
    <row r="111" spans="2:6" x14ac:dyDescent="0.25">
      <c r="B111" s="56"/>
      <c r="C111" s="56"/>
      <c r="D111" s="56"/>
      <c r="E111" s="56"/>
      <c r="F111" s="56"/>
    </row>
    <row r="112" spans="2:6" x14ac:dyDescent="0.25">
      <c r="B112" s="57"/>
      <c r="C112" s="57"/>
      <c r="D112" s="59"/>
      <c r="E112" s="59"/>
      <c r="F112" s="59"/>
    </row>
    <row r="114" spans="2:6" s="65" customFormat="1" x14ac:dyDescent="0.25"/>
    <row r="116" spans="2:6" x14ac:dyDescent="0.25">
      <c r="B116" s="56"/>
      <c r="C116" s="56"/>
      <c r="D116" s="56"/>
      <c r="E116" s="56"/>
      <c r="F116" s="56"/>
    </row>
    <row r="117" spans="2:6" x14ac:dyDescent="0.25">
      <c r="B117" s="57"/>
      <c r="C117" s="57"/>
      <c r="D117" s="59"/>
      <c r="E117" s="59"/>
      <c r="F117" s="59"/>
    </row>
    <row r="119" spans="2:6" s="65" customFormat="1" x14ac:dyDescent="0.25"/>
    <row r="121" spans="2:6" x14ac:dyDescent="0.25">
      <c r="B121" s="56"/>
      <c r="C121" s="56"/>
      <c r="D121" s="56"/>
      <c r="E121" s="56"/>
      <c r="F121" s="56"/>
    </row>
    <row r="122" spans="2:6" x14ac:dyDescent="0.25">
      <c r="B122" s="57"/>
      <c r="C122" s="57"/>
      <c r="D122" s="59"/>
      <c r="E122" s="59"/>
      <c r="F122" s="59"/>
    </row>
    <row r="124" spans="2:6" s="65" customFormat="1" x14ac:dyDescent="0.25"/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88FA5-6623-4AF0-AE43-74A22AE78332}">
  <dimension ref="B1:C14"/>
  <sheetViews>
    <sheetView workbookViewId="0">
      <selection activeCell="C11" sqref="C11"/>
    </sheetView>
  </sheetViews>
  <sheetFormatPr defaultRowHeight="15" x14ac:dyDescent="0.25"/>
  <cols>
    <col min="1" max="1" width="1.42578125" customWidth="1"/>
    <col min="2" max="2" width="42.7109375" bestFit="1" customWidth="1"/>
    <col min="3" max="3" width="12.5703125" bestFit="1" customWidth="1"/>
    <col min="4" max="4" width="14.5703125" bestFit="1" customWidth="1"/>
  </cols>
  <sheetData>
    <row r="1" spans="2:3" ht="6.75" customHeight="1" thickBot="1" x14ac:dyDescent="0.3"/>
    <row r="2" spans="2:3" ht="16.5" thickBot="1" x14ac:dyDescent="0.3">
      <c r="B2" s="159" t="s">
        <v>0</v>
      </c>
      <c r="C2" s="160"/>
    </row>
    <row r="3" spans="2:3" ht="15.75" x14ac:dyDescent="0.25">
      <c r="B3" s="1"/>
      <c r="C3" s="2"/>
    </row>
    <row r="4" spans="2:3" ht="15.75" x14ac:dyDescent="0.25">
      <c r="B4" s="3" t="s">
        <v>1</v>
      </c>
      <c r="C4" s="4">
        <f>Calculadora!I16</f>
        <v>17969.38</v>
      </c>
    </row>
    <row r="5" spans="2:3" ht="15.75" x14ac:dyDescent="0.25">
      <c r="B5" s="5" t="s">
        <v>2</v>
      </c>
      <c r="C5" s="6">
        <v>0</v>
      </c>
    </row>
    <row r="6" spans="2:3" ht="15.75" x14ac:dyDescent="0.25">
      <c r="B6" s="7"/>
      <c r="C6" s="8"/>
    </row>
    <row r="7" spans="2:3" ht="15.75" x14ac:dyDescent="0.25">
      <c r="B7" s="3" t="s">
        <v>3</v>
      </c>
      <c r="C7" s="9">
        <f>C4</f>
        <v>17969.38</v>
      </c>
    </row>
    <row r="8" spans="2:3" ht="15.75" x14ac:dyDescent="0.25">
      <c r="B8" s="10"/>
      <c r="C8" s="6"/>
    </row>
    <row r="9" spans="2:3" ht="15.75" x14ac:dyDescent="0.25">
      <c r="B9" s="3" t="s">
        <v>4</v>
      </c>
      <c r="C9" s="11">
        <f>Calculadora!L6</f>
        <v>0</v>
      </c>
    </row>
    <row r="10" spans="2:3" ht="15.75" x14ac:dyDescent="0.25">
      <c r="B10" s="10" t="s">
        <v>5</v>
      </c>
      <c r="C10" s="12">
        <f>SUM(Tabelas!F5:F8)</f>
        <v>364.91</v>
      </c>
    </row>
    <row r="11" spans="2:3" ht="15.75" x14ac:dyDescent="0.25">
      <c r="B11" s="3" t="s">
        <v>6</v>
      </c>
      <c r="C11" s="9">
        <f>Cálculo!B82</f>
        <v>3865.8695000000002</v>
      </c>
    </row>
    <row r="12" spans="2:3" ht="15.75" x14ac:dyDescent="0.25">
      <c r="B12" s="10"/>
      <c r="C12" s="6"/>
    </row>
    <row r="13" spans="2:3" ht="15.75" x14ac:dyDescent="0.25">
      <c r="B13" s="3"/>
      <c r="C13" s="4"/>
    </row>
    <row r="14" spans="2:3" ht="15.75" x14ac:dyDescent="0.25">
      <c r="B14" s="13" t="s">
        <v>7</v>
      </c>
      <c r="C14" s="14">
        <f>C7-C10-C11</f>
        <v>13738.6005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Calculadora</vt:lpstr>
      <vt:lpstr>Holerite</vt:lpstr>
      <vt:lpstr>Tabelas</vt:lpstr>
      <vt:lpstr>Cálculo</vt:lpstr>
      <vt:lpstr>NÃO MEXER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Vítor Milbratz Pinto</dc:creator>
  <cp:lastModifiedBy>Vítor Milbratz Pinto</cp:lastModifiedBy>
  <dcterms:created xsi:type="dcterms:W3CDTF">2025-10-17T14:12:09Z</dcterms:created>
  <dcterms:modified xsi:type="dcterms:W3CDTF">2026-05-21T17:10:58Z</dcterms:modified>
</cp:coreProperties>
</file>